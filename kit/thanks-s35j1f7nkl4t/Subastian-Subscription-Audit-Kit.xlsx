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Inventory" sheetId="3" state="visible" r:id="rId5"/>
    <sheet name="Category Overlap" sheetId="4" state="visible" r:id="rId6"/>
    <sheet name="Lists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<sst xmlns="http://schemas.openxmlformats.org/spreadsheetml/2006/main" count="97" uniqueCount="91">
  <si>
    <t xml:space="preserve">SUBASTIAN</t>
  </si>
  <si>
    <t xml:space="preserve">The 15-Minute Software Subscription Audit</t>
  </si>
  <si>
    <t xml:space="preserve">Find the software subscriptions you forgot you had, the tools that overlap, and the renewals coming up next.</t>
  </si>
  <si>
    <t xml:space="preserve">HOW TO USE THIS AUDIT</t>
  </si>
  <si>
    <t xml:space="preserve">1.  Pull your statements. Open the last 2–3 months of card and PayPal statements, plus the "subscriptions" page in your app stores.</t>
  </si>
  <si>
    <t xml:space="preserve">2.  List every tool on the Inventory tab. One row per subscription. Fill in only the yellow cells; everything else calculates itself.</t>
  </si>
  <si>
    <t xml:space="preserve">3.  Read the Flags column. It marks tools that overlap another tool in the same category, tools idle 14+ days, and seats you pay for but don't use.</t>
  </si>
  <si>
    <t xml:space="preserve">4.  Pick a verdict for every row: Keep, Downgrade, Cancel, or Decide later. If you downgrade, enter the new monthly cost.</t>
  </si>
  <si>
    <t xml:space="preserve">5.  Open the Summary tab. It totals your spend, your savings, and every renewal in the next 30 days. Cancel before those dates.</t>
  </si>
  <si>
    <t xml:space="preserve">LEGEND</t>
  </si>
  <si>
    <t xml:space="preserve">Yellow cells = you type here.   White cells = formulas (don't edit).   Row 5 on the Inventory tab is an example. Overwrite or delete it.</t>
  </si>
  <si>
    <t xml:space="preserve">Works in Excel and Google Sheets (File → Import, or drag the file into Google Drive and open it with Sheets).</t>
  </si>
  <si>
    <t xml:space="preserve">WHAT'S NEXT</t>
  </si>
  <si>
    <t xml:space="preserve">Subastian will run this audit for you, all the time: it groups your tools into the cheapest working stack, flags duplicates before you buy them, and warns you 30, 7, 3 and 1 day before every renewal. You're on the founding roster, so you'll hear first when early access opens.</t>
  </si>
  <si>
    <t xml:space="preserve">Questions or ideas? Reply to the email this came in, or write to subastianllc@gmail.com.  ·  subastian.us</t>
  </si>
  <si>
    <t xml:space="preserve">Your Audit Summary</t>
  </si>
  <si>
    <t xml:space="preserve">Everything here updates as you fill in the Inventory tab.</t>
  </si>
  <si>
    <t xml:space="preserve">SPEND</t>
  </si>
  <si>
    <t xml:space="preserve">Subscriptions tracked</t>
  </si>
  <si>
    <t xml:space="preserve">Monthly spend</t>
  </si>
  <si>
    <t xml:space="preserve">Annual spend</t>
  </si>
  <si>
    <t xml:space="preserve">WHAT TO LOOK AT</t>
  </si>
  <si>
    <t xml:space="preserve">Categories with overlapping tools</t>
  </si>
  <si>
    <t xml:space="preserve">Tools idle 14+ days</t>
  </si>
  <si>
    <t xml:space="preserve">Renewing in the next 30 days</t>
  </si>
  <si>
    <t xml:space="preserve">Renewing in the next 7 days</t>
  </si>
  <si>
    <t xml:space="preserve">Spend renewing in the next 30 days</t>
  </si>
  <si>
    <t xml:space="preserve">YOUR DECISIONS</t>
  </si>
  <si>
    <t xml:space="preserve">Marked Cancel</t>
  </si>
  <si>
    <t xml:space="preserve">Marked Downgrade</t>
  </si>
  <si>
    <t xml:space="preserve">Still undecided</t>
  </si>
  <si>
    <t xml:space="preserve">Monthly savings from your decisions</t>
  </si>
  <si>
    <t xml:space="preserve">Annual savings from your decisions</t>
  </si>
  <si>
    <t xml:space="preserve">Share of annual spend saved</t>
  </si>
  <si>
    <t xml:space="preserve">Subastian will do this for you, all the time. You're on the founding roster: subastian.us</t>
  </si>
  <si>
    <t xml:space="preserve">Subscription Inventory</t>
  </si>
  <si>
    <t xml:space="preserve">Yellow = you fill in. White = calculated. One row per subscription. Row 5 is an example; overwrite it.</t>
  </si>
  <si>
    <t xml:space="preserve">Today:</t>
  </si>
  <si>
    <t xml:space="preserve">Tool</t>
  </si>
  <si>
    <t xml:space="preserve">Category</t>
  </si>
  <si>
    <t xml:space="preserve">Plan / tier</t>
  </si>
  <si>
    <t xml:space="preserve">Price per billing ($)</t>
  </si>
  <si>
    <t xml:space="preserve">Billing cycle</t>
  </si>
  <si>
    <t xml:space="preserve">Monthly cost ($)</t>
  </si>
  <si>
    <t xml:space="preserve">Annual cost ($)</t>
  </si>
  <si>
    <t xml:space="preserve">Next renewal</t>
  </si>
  <si>
    <t xml:space="preserve">Days to renewal</t>
  </si>
  <si>
    <t xml:space="preserve">Renewal alert</t>
  </si>
  <si>
    <t xml:space="preserve">Last used</t>
  </si>
  <si>
    <t xml:space="preserve">Days idle</t>
  </si>
  <si>
    <t xml:space="preserve">Seats paid</t>
  </si>
  <si>
    <t xml:space="preserve">Seats used</t>
  </si>
  <si>
    <t xml:space="preserve">Flags</t>
  </si>
  <si>
    <t xml:space="preserve">Verdict</t>
  </si>
  <si>
    <t xml:space="preserve">New monthly cost ($)</t>
  </si>
  <si>
    <t xml:space="preserve">Monthly savings ($)</t>
  </si>
  <si>
    <t xml:space="preserve">Annual savings ($)</t>
  </si>
  <si>
    <t xml:space="preserve">Notes</t>
  </si>
  <si>
    <t xml:space="preserve">Example: design app</t>
  </si>
  <si>
    <t xml:space="preserve">Design</t>
  </si>
  <si>
    <t xml:space="preserve">Pro (1 seat)</t>
  </si>
  <si>
    <t xml:space="preserve">Annual</t>
  </si>
  <si>
    <t xml:space="preserve">Decide later</t>
  </si>
  <si>
    <t xml:space="preserve">Example row: overwrite with your own tool.</t>
  </si>
  <si>
    <t xml:space="preserve">Category Overlap</t>
  </si>
  <si>
    <t xml:space="preserve">Two or more tools in one category usually means you can cut one. Calculated from the Inventory tab.</t>
  </si>
  <si>
    <t xml:space="preserve">Tools</t>
  </si>
  <si>
    <t xml:space="preserve">Monthly spend ($)</t>
  </si>
  <si>
    <t xml:space="preserve">Annual spend ($)</t>
  </si>
  <si>
    <t xml:space="preserve">Check</t>
  </si>
  <si>
    <t xml:space="preserve">Categories</t>
  </si>
  <si>
    <t xml:space="preserve">Months</t>
  </si>
  <si>
    <t xml:space="preserve">AI tools</t>
  </si>
  <si>
    <t xml:space="preserve">Monthly</t>
  </si>
  <si>
    <t xml:space="preserve">Keep</t>
  </si>
  <si>
    <t xml:space="preserve">Analytics</t>
  </si>
  <si>
    <t xml:space="preserve">Quarterly</t>
  </si>
  <si>
    <t xml:space="preserve">Downgrade</t>
  </si>
  <si>
    <t xml:space="preserve">Automation</t>
  </si>
  <si>
    <t xml:space="preserve">Cancel</t>
  </si>
  <si>
    <t xml:space="preserve">Cloud storage</t>
  </si>
  <si>
    <t xml:space="preserve">Communication</t>
  </si>
  <si>
    <t xml:space="preserve">CRM</t>
  </si>
  <si>
    <t xml:space="preserve">Email marketing</t>
  </si>
  <si>
    <t xml:space="preserve">Funnels &amp; landing pages</t>
  </si>
  <si>
    <t xml:space="preserve">Hosting &amp; domains</t>
  </si>
  <si>
    <t xml:space="preserve">Project management</t>
  </si>
  <si>
    <t xml:space="preserve">SEO</t>
  </si>
  <si>
    <t xml:space="preserve">Social scheduling</t>
  </si>
  <si>
    <t xml:space="preserve">Video</t>
  </si>
  <si>
    <t xml:space="preserve">Other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</si>
</sst>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.00"/>
    <numFmt numFmtId="167" formatCode="0.0%"/>
    <numFmt numFmtId="168" formatCode="mmm\ d&quot;, &quot;yyyy"/>
    <numFmt numFmtId="169" formatCode="\$#,##0.00;&quot;($&quot;#,##0.00\);\-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6D28D9"/>
      <name val="Arial"/>
      <family val="0"/>
      <charset val="1"/>
    </font>
    <font>
      <b val="true"/>
      <sz val="20"/>
      <color rgb="FF15132A"/>
      <name val="Arial"/>
      <family val="0"/>
      <charset val="1"/>
    </font>
    <font>
      <sz val="11"/>
      <color rgb="FF5C5678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sz val="11"/>
      <color rgb="FF15132A"/>
      <name val="Arial"/>
      <family val="0"/>
      <charset val="1"/>
    </font>
    <font>
      <b val="true"/>
      <sz val="18"/>
      <color rgb="FF15132A"/>
      <name val="Arial"/>
      <family val="0"/>
      <charset val="1"/>
    </font>
    <font>
      <sz val="10"/>
      <color rgb="FF5C56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1513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DEFD3"/>
      </patternFill>
    </fill>
    <fill>
      <patternFill patternType="solid">
        <fgColor rgb="FFECE3FB"/>
        <bgColor rgb="FFE2DCF2"/>
      </patternFill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DC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42318"/>
      </font>
      <fill>
        <patternFill>
          <bgColor rgb="FFFDE2E2"/>
        </patternFill>
      </fill>
    </dxf>
    <dxf>
      <font>
        <name val="Arial"/>
        <charset val="1"/>
        <family val="0"/>
        <color rgb="FF9A5B00"/>
      </font>
      <fill>
        <patternFill>
          <bgColor rgb="FFFDEFD3"/>
        </patternFill>
      </fill>
    </dxf>
    <dxf>
      <fill>
        <patternFill>
          <bgColor rgb="FFFDEF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B00"/>
      <rgbColor rgb="FF800080"/>
      <rgbColor rgb="FF008080"/>
      <rgbColor rgb="FFC0C0C0"/>
      <rgbColor rgb="FF808080"/>
      <rgbColor rgb="FF9999FF"/>
      <rgbColor rgb="FF993366"/>
      <rgbColor rgb="FFFFF7CC"/>
      <rgbColor rgb="FFECE3FB"/>
      <rgbColor rgb="FF660066"/>
      <rgbColor rgb="FFFF8080"/>
      <rgbColor rgb="FF0066CC"/>
      <rgbColor rgb="FFE2DC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FD3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C5678"/>
      <rgbColor rgb="FF969696"/>
      <rgbColor rgb="FF003366"/>
      <rgbColor rgb="FF339966"/>
      <rgbColor rgb="FF003300"/>
      <rgbColor rgb="FF333300"/>
      <rgbColor rgb="FFB42318"/>
      <rgbColor rgb="FF993366"/>
      <rgbColor rgb="FF6D28D9"/>
      <rgbColor rgb="FF151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4" customFormat="false" ht="31.5" hidden="false" customHeight="true" outlineLevel="0" collapsed="false">
      <c r="B4" s="3" t="s">
        <v>2</v>
      </c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5" t="s">
        <v>3</v>
      </c>
    </row>
    <row r="7" customFormat="false" ht="31.5" hidden="false" customHeight="true" outlineLevel="0" collapsed="false">
      <c r="B7" s="6" t="s">
        <v>4</v>
      </c>
    </row>
    <row r="8" customFormat="false" ht="31.5" hidden="false" customHeight="true" outlineLevel="0" collapsed="false">
      <c r="B8" s="6" t="s">
        <v>5</v>
      </c>
    </row>
    <row r="9" customFormat="false" ht="31.5" hidden="false" customHeight="true" outlineLevel="0" collapsed="false">
      <c r="B9" s="6" t="s">
        <v>6</v>
      </c>
    </row>
    <row r="10" customFormat="false" ht="31.5" hidden="false" customHeight="true" outlineLevel="0" collapsed="false">
      <c r="B10" s="6" t="s">
        <v>7</v>
      </c>
    </row>
    <row r="11" customFormat="false" ht="31.5" hidden="false" customHeight="true" outlineLevel="0" collapsed="false">
      <c r="B11" s="6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5" t="s">
        <v>9</v>
      </c>
    </row>
    <row r="14" customFormat="false" ht="31.5" hidden="false" customHeight="true" outlineLevel="0" collapsed="false">
      <c r="B14" s="7" t="s">
        <v>10</v>
      </c>
    </row>
    <row r="15" customFormat="false" ht="31.5" hidden="false" customHeight="true" outlineLevel="0" collapsed="false">
      <c r="B15" s="3" t="s">
        <v>11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5" t="s">
        <v>12</v>
      </c>
    </row>
    <row r="18" customFormat="false" ht="31.5" hidden="false" customHeight="true" outlineLevel="0" collapsed="false">
      <c r="B18" s="6" t="s">
        <v>13</v>
      </c>
    </row>
    <row r="19" customFormat="false" ht="31.5" hidden="false" customHeight="true" outlineLevel="0" collapsed="false">
      <c r="B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2.05" hidden="false" customHeight="false" outlineLevel="0" collapsed="false">
      <c r="B2" s="8" t="s">
        <v>15</v>
      </c>
    </row>
    <row r="3" customFormat="false" ht="15" hidden="false" customHeight="false" outlineLevel="0" collapsed="false">
      <c r="B3" s="9" t="s">
        <v>16</v>
      </c>
    </row>
    <row r="5" customFormat="false" ht="15" hidden="false" customHeight="false" outlineLevel="0" collapsed="false">
      <c r="B5" s="10" t="s">
        <v>17</v>
      </c>
    </row>
    <row r="6" customFormat="false" ht="15" hidden="false" customHeight="false" outlineLevel="0" collapsed="false">
      <c r="B6" s="11" t="s">
        <v>18</v>
      </c>
      <c r="C6" s="12" t="n">
        <f aca="false">COUNTA(Inventory!$A$5:$A$104)</f>
        <v>1</v>
      </c>
    </row>
    <row r="7" customFormat="false" ht="15" hidden="false" customHeight="false" outlineLevel="0" collapsed="false">
      <c r="B7" s="11" t="s">
        <v>19</v>
      </c>
      <c r="C7" s="13" t="n">
        <f aca="false">SUM(Inventory!$F$5:$F$104)</f>
        <v>10</v>
      </c>
    </row>
    <row r="8" customFormat="false" ht="15" hidden="false" customHeight="false" outlineLevel="0" collapsed="false">
      <c r="B8" s="11" t="s">
        <v>20</v>
      </c>
      <c r="C8" s="13" t="n">
        <f aca="false">SUM(Inventory!$G$5:$G$104)</f>
        <v>120</v>
      </c>
    </row>
    <row r="9" customFormat="false" ht="15" hidden="false" customHeight="false" outlineLevel="0" collapsed="false">
      <c r="B9" s="14"/>
    </row>
    <row r="10" customFormat="false" ht="15" hidden="false" customHeight="false" outlineLevel="0" collapsed="false">
      <c r="B10" s="10" t="s">
        <v>21</v>
      </c>
    </row>
    <row r="11" customFormat="false" ht="15" hidden="false" customHeight="false" outlineLevel="0" collapsed="false">
      <c r="B11" s="11" t="s">
        <v>22</v>
      </c>
      <c r="C11" s="12" t="n">
        <f aca="false">COUNTIF('Category Overlap'!$B$5:$B$19,"&gt;1")</f>
        <v>0</v>
      </c>
    </row>
    <row r="12" customFormat="false" ht="15" hidden="false" customHeight="false" outlineLevel="0" collapsed="false">
      <c r="B12" s="11" t="s">
        <v>23</v>
      </c>
      <c r="C12" s="12" t="n">
        <f aca="false">COUNTIF(Inventory!$L$5:$L$104,"&gt;=14")</f>
        <v>1</v>
      </c>
    </row>
    <row r="13" customFormat="false" ht="15" hidden="false" customHeight="false" outlineLevel="0" collapsed="false">
      <c r="B13" s="11" t="s">
        <v>24</v>
      </c>
      <c r="C13" s="12" t="n">
        <f aca="false">COUNTIFS(Inventory!$I$5:$I$104,"&gt;=0",Inventory!$I$5:$I$104,"&lt;=30")</f>
        <v>1</v>
      </c>
    </row>
    <row r="14" customFormat="false" ht="15" hidden="false" customHeight="false" outlineLevel="0" collapsed="false">
      <c r="B14" s="11" t="s">
        <v>25</v>
      </c>
      <c r="C14" s="12" t="n">
        <f aca="false">COUNTIFS(Inventory!$I$5:$I$104,"&gt;=0",Inventory!$I$5:$I$104,"&lt;=7")</f>
        <v>0</v>
      </c>
    </row>
    <row r="15" customFormat="false" ht="15" hidden="false" customHeight="false" outlineLevel="0" collapsed="false">
      <c r="B15" s="11" t="s">
        <v>26</v>
      </c>
      <c r="C15" s="13" t="n">
        <f aca="false">SUMIFS(Inventory!$D$5:$D$104,Inventory!$I$5:$I$104,"&gt;=0",Inventory!$I$5:$I$104,"&lt;=30")</f>
        <v>120</v>
      </c>
    </row>
    <row r="16" customFormat="false" ht="15" hidden="false" customHeight="false" outlineLevel="0" collapsed="false">
      <c r="B16" s="14"/>
    </row>
    <row r="17" customFormat="false" ht="15" hidden="false" customHeight="false" outlineLevel="0" collapsed="false">
      <c r="B17" s="10" t="s">
        <v>27</v>
      </c>
    </row>
    <row r="18" customFormat="false" ht="15" hidden="false" customHeight="false" outlineLevel="0" collapsed="false">
      <c r="B18" s="11" t="s">
        <v>28</v>
      </c>
      <c r="C18" s="12" t="n">
        <f aca="false">COUNTIF(Inventory!$P$5:$P$104,"Cancel")</f>
        <v>0</v>
      </c>
    </row>
    <row r="19" customFormat="false" ht="15" hidden="false" customHeight="false" outlineLevel="0" collapsed="false">
      <c r="B19" s="11" t="s">
        <v>29</v>
      </c>
      <c r="C19" s="12" t="n">
        <f aca="false">COUNTIF(Inventory!$P$5:$P$104,"Downgrade")</f>
        <v>0</v>
      </c>
    </row>
    <row r="20" customFormat="false" ht="15" hidden="false" customHeight="false" outlineLevel="0" collapsed="false">
      <c r="B20" s="11" t="s">
        <v>30</v>
      </c>
      <c r="C20" s="12" t="n">
        <f aca="false">COUNTIF(Inventory!$P$5:$P$104,"Decide later")+COUNTA(Inventory!$A$5:$A$104)-COUNTA(Inventory!$P$5:$P$104)</f>
        <v>1</v>
      </c>
    </row>
    <row r="21" customFormat="false" ht="15" hidden="false" customHeight="false" outlineLevel="0" collapsed="false">
      <c r="B21" s="15" t="s">
        <v>31</v>
      </c>
      <c r="C21" s="16" t="n">
        <f aca="false">SUM(Inventory!$R$5:$R$104)</f>
        <v>0</v>
      </c>
    </row>
    <row r="22" customFormat="false" ht="15" hidden="false" customHeight="false" outlineLevel="0" collapsed="false">
      <c r="B22" s="15" t="s">
        <v>32</v>
      </c>
      <c r="C22" s="16" t="n">
        <f aca="false">SUM(Inventory!$S$5:$S$104)</f>
        <v>0</v>
      </c>
    </row>
    <row r="23" customFormat="false" ht="15" hidden="false" customHeight="false" outlineLevel="0" collapsed="false">
      <c r="B23" s="11" t="s">
        <v>33</v>
      </c>
      <c r="C23" s="17" t="n">
        <f aca="false">IF(C8=0,0,C22/C8)</f>
        <v>0</v>
      </c>
    </row>
    <row r="26" customFormat="false" ht="15" hidden="false" customHeight="false" outlineLevel="0" collapsed="false">
      <c r="B26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8" min="5" style="0" width="13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34"/>
    <col collapsed="false" customWidth="true" hidden="false" outlineLevel="0" max="17" min="16" style="0" width="14"/>
    <col collapsed="false" customWidth="true" hidden="false" outlineLevel="0" max="19" min="18" style="0" width="13"/>
    <col collapsed="false" customWidth="true" hidden="false" outlineLevel="0" max="20" min="20" style="0" width="30"/>
  </cols>
  <sheetData>
    <row r="1" customFormat="false" ht="19.7" hidden="false" customHeight="false" outlineLevel="0" collapsed="false">
      <c r="A1" s="18" t="s">
        <v>35</v>
      </c>
    </row>
    <row r="2" customFormat="false" ht="15" hidden="false" customHeight="false" outlineLevel="0" collapsed="false">
      <c r="A2" s="9" t="s">
        <v>36</v>
      </c>
    </row>
    <row r="3" customFormat="false" ht="15" hidden="false" customHeight="false" outlineLevel="0" collapsed="false">
      <c r="A3" s="9" t="s">
        <v>37</v>
      </c>
      <c r="B3" s="19" t="n">
        <f aca="true">TODAY()</f>
        <v>46289</v>
      </c>
    </row>
    <row r="4" customFormat="false" ht="33.75" hidden="false" customHeight="true" outlineLevel="0" collapsed="false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I4" s="20" t="s">
        <v>46</v>
      </c>
      <c r="J4" s="20" t="s">
        <v>47</v>
      </c>
      <c r="K4" s="20" t="s">
        <v>48</v>
      </c>
      <c r="L4" s="20" t="s">
        <v>49</v>
      </c>
      <c r="M4" s="20" t="s">
        <v>50</v>
      </c>
      <c r="N4" s="20" t="s">
        <v>51</v>
      </c>
      <c r="O4" s="20" t="s">
        <v>52</v>
      </c>
      <c r="P4" s="20" t="s">
        <v>53</v>
      </c>
      <c r="Q4" s="20" t="s">
        <v>54</v>
      </c>
      <c r="R4" s="20" t="s">
        <v>55</v>
      </c>
      <c r="S4" s="20" t="s">
        <v>56</v>
      </c>
      <c r="T4" s="20" t="s">
        <v>57</v>
      </c>
    </row>
    <row r="5" customFormat="false" ht="23.85" hidden="false" customHeight="false" outlineLevel="0" collapsed="false">
      <c r="A5" s="21" t="s">
        <v>58</v>
      </c>
      <c r="B5" s="21" t="s">
        <v>59</v>
      </c>
      <c r="C5" s="21" t="s">
        <v>60</v>
      </c>
      <c r="D5" s="22" t="n">
        <v>120</v>
      </c>
      <c r="E5" s="21" t="s">
        <v>61</v>
      </c>
      <c r="F5" s="23" t="n">
        <f aca="false">IF(D5="","",D5/IFERROR(INDEX(Lists!$D$2:$D$4,MATCH(E5,Lists!$C$2:$C$4,0)),1))</f>
        <v>10</v>
      </c>
      <c r="G5" s="23" t="n">
        <f aca="false">IF(F5="","",F5*12)</f>
        <v>120</v>
      </c>
      <c r="H5" s="24" t="n">
        <v>46310</v>
      </c>
      <c r="I5" s="25" t="n">
        <f aca="false">IF(H5="","",H5-$B$3)</f>
        <v>21</v>
      </c>
      <c r="J5" s="26" t="str">
        <f aca="false">IF(I5="","",IF(I5&lt;0,"Past - update date",IF(I5=0,"Renews TODAY",IF(I5&lt;=1,"1 day",IF(I5&lt;=3,"3 days",IF(I5&lt;=7,"7 days",IF(I5&lt;=30,"30 days","OK")))))))</f>
        <v>30 days</v>
      </c>
      <c r="K5" s="24" t="n">
        <v>46249</v>
      </c>
      <c r="L5" s="25" t="n">
        <f aca="false">IF(K5="","",$B$3-K5)</f>
        <v>40</v>
      </c>
      <c r="M5" s="27" t="n">
        <v>1</v>
      </c>
      <c r="N5" s="27" t="n">
        <v>1</v>
      </c>
      <c r="O5" s="28" t="str">
        <f aca="false">IF(A5="","",IF(AND(B5&lt;&gt;"",COUNTIF($B$5:$B$104,B5)&gt;1),"Overlap: "&amp;COUNTIF($B$5:$B$104,B5)&amp;" "&amp;B5&amp;" tools. ","")&amp;IF(AND(L5&lt;&gt;"",L5&gt;=14),"Idle "&amp;L5&amp;" days. ","")&amp;IF(AND(M5&lt;&gt;"",N5&lt;&gt;"",M5&gt;N5),M5-N5&amp;" unused seat(s). ",""))</f>
        <v>Idle 40 days. </v>
      </c>
      <c r="P5" s="21" t="s">
        <v>62</v>
      </c>
      <c r="Q5" s="22"/>
      <c r="R5" s="23" t="n">
        <f aca="false">IF(OR(F5="",P5=""),"",IF(P5="Cancel",F5,IF(AND(P5="Downgrade",Q5&lt;&gt;""),MAX(F5-Q5,0),0)))</f>
        <v>0</v>
      </c>
      <c r="S5" s="23" t="n">
        <f aca="false">IF(R5="","",R5*12)</f>
        <v>0</v>
      </c>
      <c r="T5" s="29" t="s">
        <v>63</v>
      </c>
    </row>
    <row r="6" customFormat="false" ht="15" hidden="false" customHeight="false" outlineLevel="0" collapsed="false">
      <c r="A6" s="21"/>
      <c r="B6" s="21"/>
      <c r="C6" s="21"/>
      <c r="D6" s="22"/>
      <c r="E6" s="21"/>
      <c r="F6" s="23" t="str">
        <f aca="false">IF(D6="","",D6/IFERROR(INDEX(Lists!$D$2:$D$4,MATCH(E6,Lists!$C$2:$C$4,0)),1))</f>
        <v/>
      </c>
      <c r="G6" s="23" t="str">
        <f aca="false">IF(F6="","",F6*12)</f>
        <v/>
      </c>
      <c r="H6" s="24"/>
      <c r="I6" s="25" t="str">
        <f aca="false">IF(H6="","",H6-$B$3)</f>
        <v/>
      </c>
      <c r="J6" s="26" t="str">
        <f aca="false">IF(I6="","",IF(I6&lt;0,"Past - update date",IF(I6=0,"Renews TODAY",IF(I6&lt;=1,"1 day",IF(I6&lt;=3,"3 days",IF(I6&lt;=7,"7 days",IF(I6&lt;=30,"30 days","OK")))))))</f>
        <v/>
      </c>
      <c r="K6" s="24"/>
      <c r="L6" s="25" t="str">
        <f aca="false">IF(K6="","",$B$3-K6)</f>
        <v/>
      </c>
      <c r="M6" s="27"/>
      <c r="N6" s="27"/>
      <c r="O6" s="28" t="str">
        <f aca="false">IF(A6="","",IF(AND(B6&lt;&gt;"",COUNTIF($B$5:$B$104,B6)&gt;1),"Overlap: "&amp;COUNTIF($B$5:$B$104,B6)&amp;" "&amp;B6&amp;" tools. ","")&amp;IF(AND(L6&lt;&gt;"",L6&gt;=14),"Idle "&amp;L6&amp;" days. ","")&amp;IF(AND(M6&lt;&gt;"",N6&lt;&gt;"",M6&gt;N6),M6-N6&amp;" unused seat(s). ",""))</f>
        <v/>
      </c>
      <c r="P6" s="21"/>
      <c r="Q6" s="22"/>
      <c r="R6" s="23" t="str">
        <f aca="false">IF(OR(F6="",P6=""),"",IF(P6="Cancel",F6,IF(AND(P6="Downgrade",Q6&lt;&gt;""),MAX(F6-Q6,0),0)))</f>
        <v/>
      </c>
      <c r="S6" s="23" t="str">
        <f aca="false">IF(R6="","",R6*12)</f>
        <v/>
      </c>
      <c r="T6" s="29"/>
    </row>
    <row r="7" customFormat="false" ht="15" hidden="false" customHeight="false" outlineLevel="0" collapsed="false">
      <c r="A7" s="21"/>
      <c r="B7" s="21"/>
      <c r="C7" s="21"/>
      <c r="D7" s="22"/>
      <c r="E7" s="21"/>
      <c r="F7" s="23" t="str">
        <f aca="false">IF(D7="","",D7/IFERROR(INDEX(Lists!$D$2:$D$4,MATCH(E7,Lists!$C$2:$C$4,0)),1))</f>
        <v/>
      </c>
      <c r="G7" s="23" t="str">
        <f aca="false">IF(F7="","",F7*12)</f>
        <v/>
      </c>
      <c r="H7" s="24"/>
      <c r="I7" s="25" t="str">
        <f aca="false">IF(H7="","",H7-$B$3)</f>
        <v/>
      </c>
      <c r="J7" s="26" t="str">
        <f aca="false">IF(I7="","",IF(I7&lt;0,"Past - update date",IF(I7=0,"Renews TODAY",IF(I7&lt;=1,"1 day",IF(I7&lt;=3,"3 days",IF(I7&lt;=7,"7 days",IF(I7&lt;=30,"30 days","OK")))))))</f>
        <v/>
      </c>
      <c r="K7" s="24"/>
      <c r="L7" s="25" t="str">
        <f aca="false">IF(K7="","",$B$3-K7)</f>
        <v/>
      </c>
      <c r="M7" s="27"/>
      <c r="N7" s="27"/>
      <c r="O7" s="28" t="str">
        <f aca="false">IF(A7="","",IF(AND(B7&lt;&gt;"",COUNTIF($B$5:$B$104,B7)&gt;1),"Overlap: "&amp;COUNTIF($B$5:$B$104,B7)&amp;" "&amp;B7&amp;" tools. ","")&amp;IF(AND(L7&lt;&gt;"",L7&gt;=14),"Idle "&amp;L7&amp;" days. ","")&amp;IF(AND(M7&lt;&gt;"",N7&lt;&gt;"",M7&gt;N7),M7-N7&amp;" unused seat(s). ",""))</f>
        <v/>
      </c>
      <c r="P7" s="21"/>
      <c r="Q7" s="22"/>
      <c r="R7" s="23" t="str">
        <f aca="false">IF(OR(F7="",P7=""),"",IF(P7="Cancel",F7,IF(AND(P7="Downgrade",Q7&lt;&gt;""),MAX(F7-Q7,0),0)))</f>
        <v/>
      </c>
      <c r="S7" s="23" t="str">
        <f aca="false">IF(R7="","",R7*12)</f>
        <v/>
      </c>
      <c r="T7" s="29"/>
    </row>
    <row r="8" customFormat="false" ht="15" hidden="false" customHeight="false" outlineLevel="0" collapsed="false">
      <c r="A8" s="21"/>
      <c r="B8" s="21"/>
      <c r="C8" s="21"/>
      <c r="D8" s="22"/>
      <c r="E8" s="21"/>
      <c r="F8" s="23" t="str">
        <f aca="false">IF(D8="","",D8/IFERROR(INDEX(Lists!$D$2:$D$4,MATCH(E8,Lists!$C$2:$C$4,0)),1))</f>
        <v/>
      </c>
      <c r="G8" s="23" t="str">
        <f aca="false">IF(F8="","",F8*12)</f>
        <v/>
      </c>
      <c r="H8" s="24"/>
      <c r="I8" s="25" t="str">
        <f aca="false">IF(H8="","",H8-$B$3)</f>
        <v/>
      </c>
      <c r="J8" s="26" t="str">
        <f aca="false">IF(I8="","",IF(I8&lt;0,"Past - update date",IF(I8=0,"Renews TODAY",IF(I8&lt;=1,"1 day",IF(I8&lt;=3,"3 days",IF(I8&lt;=7,"7 days",IF(I8&lt;=30,"30 days","OK")))))))</f>
        <v/>
      </c>
      <c r="K8" s="24"/>
      <c r="L8" s="25" t="str">
        <f aca="false">IF(K8="","",$B$3-K8)</f>
        <v/>
      </c>
      <c r="M8" s="27"/>
      <c r="N8" s="27"/>
      <c r="O8" s="28" t="str">
        <f aca="false">IF(A8="","",IF(AND(B8&lt;&gt;"",COUNTIF($B$5:$B$104,B8)&gt;1),"Overlap: "&amp;COUNTIF($B$5:$B$104,B8)&amp;" "&amp;B8&amp;" tools. ","")&amp;IF(AND(L8&lt;&gt;"",L8&gt;=14),"Idle "&amp;L8&amp;" days. ","")&amp;IF(AND(M8&lt;&gt;"",N8&lt;&gt;"",M8&gt;N8),M8-N8&amp;" unused seat(s). ",""))</f>
        <v/>
      </c>
      <c r="P8" s="21"/>
      <c r="Q8" s="22"/>
      <c r="R8" s="23" t="str">
        <f aca="false">IF(OR(F8="",P8=""),"",IF(P8="Cancel",F8,IF(AND(P8="Downgrade",Q8&lt;&gt;""),MAX(F8-Q8,0),0)))</f>
        <v/>
      </c>
      <c r="S8" s="23" t="str">
        <f aca="false">IF(R8="","",R8*12)</f>
        <v/>
      </c>
      <c r="T8" s="29"/>
    </row>
    <row r="9" customFormat="false" ht="15" hidden="false" customHeight="false" outlineLevel="0" collapsed="false">
      <c r="A9" s="21"/>
      <c r="B9" s="21"/>
      <c r="C9" s="21"/>
      <c r="D9" s="22"/>
      <c r="E9" s="21"/>
      <c r="F9" s="23" t="str">
        <f aca="false">IF(D9="","",D9/IFERROR(INDEX(Lists!$D$2:$D$4,MATCH(E9,Lists!$C$2:$C$4,0)),1))</f>
        <v/>
      </c>
      <c r="G9" s="23" t="str">
        <f aca="false">IF(F9="","",F9*12)</f>
        <v/>
      </c>
      <c r="H9" s="24"/>
      <c r="I9" s="25" t="str">
        <f aca="false">IF(H9="","",H9-$B$3)</f>
        <v/>
      </c>
      <c r="J9" s="26" t="str">
        <f aca="false">IF(I9="","",IF(I9&lt;0,"Past - update date",IF(I9=0,"Renews TODAY",IF(I9&lt;=1,"1 day",IF(I9&lt;=3,"3 days",IF(I9&lt;=7,"7 days",IF(I9&lt;=30,"30 days","OK")))))))</f>
        <v/>
      </c>
      <c r="K9" s="24"/>
      <c r="L9" s="25" t="str">
        <f aca="false">IF(K9="","",$B$3-K9)</f>
        <v/>
      </c>
      <c r="M9" s="27"/>
      <c r="N9" s="27"/>
      <c r="O9" s="28" t="str">
        <f aca="false">IF(A9="","",IF(AND(B9&lt;&gt;"",COUNTIF($B$5:$B$104,B9)&gt;1),"Overlap: "&amp;COUNTIF($B$5:$B$104,B9)&amp;" "&amp;B9&amp;" tools. ","")&amp;IF(AND(L9&lt;&gt;"",L9&gt;=14),"Idle "&amp;L9&amp;" days. ","")&amp;IF(AND(M9&lt;&gt;"",N9&lt;&gt;"",M9&gt;N9),M9-N9&amp;" unused seat(s). ",""))</f>
        <v/>
      </c>
      <c r="P9" s="21"/>
      <c r="Q9" s="22"/>
      <c r="R9" s="23" t="str">
        <f aca="false">IF(OR(F9="",P9=""),"",IF(P9="Cancel",F9,IF(AND(P9="Downgrade",Q9&lt;&gt;""),MAX(F9-Q9,0),0)))</f>
        <v/>
      </c>
      <c r="S9" s="23" t="str">
        <f aca="false">IF(R9="","",R9*12)</f>
        <v/>
      </c>
      <c r="T9" s="29"/>
    </row>
    <row r="10" customFormat="false" ht="15" hidden="false" customHeight="false" outlineLevel="0" collapsed="false">
      <c r="A10" s="21"/>
      <c r="B10" s="21"/>
      <c r="C10" s="21"/>
      <c r="D10" s="22"/>
      <c r="E10" s="21"/>
      <c r="F10" s="23" t="str">
        <f aca="false">IF(D10="","",D10/IFERROR(INDEX(Lists!$D$2:$D$4,MATCH(E10,Lists!$C$2:$C$4,0)),1))</f>
        <v/>
      </c>
      <c r="G10" s="23" t="str">
        <f aca="false">IF(F10="","",F10*12)</f>
        <v/>
      </c>
      <c r="H10" s="24"/>
      <c r="I10" s="25" t="str">
        <f aca="false">IF(H10="","",H10-$B$3)</f>
        <v/>
      </c>
      <c r="J10" s="26" t="str">
        <f aca="false">IF(I10="","",IF(I10&lt;0,"Past - update date",IF(I10=0,"Renews TODAY",IF(I10&lt;=1,"1 day",IF(I10&lt;=3,"3 days",IF(I10&lt;=7,"7 days",IF(I10&lt;=30,"30 days","OK")))))))</f>
        <v/>
      </c>
      <c r="K10" s="24"/>
      <c r="L10" s="25" t="str">
        <f aca="false">IF(K10="","",$B$3-K10)</f>
        <v/>
      </c>
      <c r="M10" s="27"/>
      <c r="N10" s="27"/>
      <c r="O10" s="28" t="str">
        <f aca="false">IF(A10="","",IF(AND(B10&lt;&gt;"",COUNTIF($B$5:$B$104,B10)&gt;1),"Overlap: "&amp;COUNTIF($B$5:$B$104,B10)&amp;" "&amp;B10&amp;" tools. ","")&amp;IF(AND(L10&lt;&gt;"",L10&gt;=14),"Idle "&amp;L10&amp;" days. ","")&amp;IF(AND(M10&lt;&gt;"",N10&lt;&gt;"",M10&gt;N10),M10-N10&amp;" unused seat(s). ",""))</f>
        <v/>
      </c>
      <c r="P10" s="21"/>
      <c r="Q10" s="22"/>
      <c r="R10" s="23" t="str">
        <f aca="false">IF(OR(F10="",P10=""),"",IF(P10="Cancel",F10,IF(AND(P10="Downgrade",Q10&lt;&gt;""),MAX(F10-Q10,0),0)))</f>
        <v/>
      </c>
      <c r="S10" s="23" t="str">
        <f aca="false">IF(R10="","",R10*12)</f>
        <v/>
      </c>
      <c r="T10" s="29"/>
    </row>
    <row r="11" customFormat="false" ht="15" hidden="false" customHeight="false" outlineLevel="0" collapsed="false">
      <c r="A11" s="21"/>
      <c r="B11" s="21"/>
      <c r="C11" s="21"/>
      <c r="D11" s="22"/>
      <c r="E11" s="21"/>
      <c r="F11" s="23" t="str">
        <f aca="false">IF(D11="","",D11/IFERROR(INDEX(Lists!$D$2:$D$4,MATCH(E11,Lists!$C$2:$C$4,0)),1))</f>
        <v/>
      </c>
      <c r="G11" s="23" t="str">
        <f aca="false">IF(F11="","",F11*12)</f>
        <v/>
      </c>
      <c r="H11" s="24"/>
      <c r="I11" s="25" t="str">
        <f aca="false">IF(H11="","",H11-$B$3)</f>
        <v/>
      </c>
      <c r="J11" s="26" t="str">
        <f aca="false">IF(I11="","",IF(I11&lt;0,"Past - update date",IF(I11=0,"Renews TODAY",IF(I11&lt;=1,"1 day",IF(I11&lt;=3,"3 days",IF(I11&lt;=7,"7 days",IF(I11&lt;=30,"30 days","OK")))))))</f>
        <v/>
      </c>
      <c r="K11" s="24"/>
      <c r="L11" s="25" t="str">
        <f aca="false">IF(K11="","",$B$3-K11)</f>
        <v/>
      </c>
      <c r="M11" s="27"/>
      <c r="N11" s="27"/>
      <c r="O11" s="28" t="str">
        <f aca="false">IF(A11="","",IF(AND(B11&lt;&gt;"",COUNTIF($B$5:$B$104,B11)&gt;1),"Overlap: "&amp;COUNTIF($B$5:$B$104,B11)&amp;" "&amp;B11&amp;" tools. ","")&amp;IF(AND(L11&lt;&gt;"",L11&gt;=14),"Idle "&amp;L11&amp;" days. ","")&amp;IF(AND(M11&lt;&gt;"",N11&lt;&gt;"",M11&gt;N11),M11-N11&amp;" unused seat(s). ",""))</f>
        <v/>
      </c>
      <c r="P11" s="21"/>
      <c r="Q11" s="22"/>
      <c r="R11" s="23" t="str">
        <f aca="false">IF(OR(F11="",P11=""),"",IF(P11="Cancel",F11,IF(AND(P11="Downgrade",Q11&lt;&gt;""),MAX(F11-Q11,0),0)))</f>
        <v/>
      </c>
      <c r="S11" s="23" t="str">
        <f aca="false">IF(R11="","",R11*12)</f>
        <v/>
      </c>
      <c r="T11" s="29"/>
    </row>
    <row r="12" customFormat="false" ht="15" hidden="false" customHeight="false" outlineLevel="0" collapsed="false">
      <c r="A12" s="21"/>
      <c r="B12" s="21"/>
      <c r="C12" s="21"/>
      <c r="D12" s="22"/>
      <c r="E12" s="21"/>
      <c r="F12" s="23" t="str">
        <f aca="false">IF(D12="","",D12/IFERROR(INDEX(Lists!$D$2:$D$4,MATCH(E12,Lists!$C$2:$C$4,0)),1))</f>
        <v/>
      </c>
      <c r="G12" s="23" t="str">
        <f aca="false">IF(F12="","",F12*12)</f>
        <v/>
      </c>
      <c r="H12" s="24"/>
      <c r="I12" s="25" t="str">
        <f aca="false">IF(H12="","",H12-$B$3)</f>
        <v/>
      </c>
      <c r="J12" s="26" t="str">
        <f aca="false">IF(I12="","",IF(I12&lt;0,"Past - update date",IF(I12=0,"Renews TODAY",IF(I12&lt;=1,"1 day",IF(I12&lt;=3,"3 days",IF(I12&lt;=7,"7 days",IF(I12&lt;=30,"30 days","OK")))))))</f>
        <v/>
      </c>
      <c r="K12" s="24"/>
      <c r="L12" s="25" t="str">
        <f aca="false">IF(K12="","",$B$3-K12)</f>
        <v/>
      </c>
      <c r="M12" s="27"/>
      <c r="N12" s="27"/>
      <c r="O12" s="28" t="str">
        <f aca="false">IF(A12="","",IF(AND(B12&lt;&gt;"",COUNTIF($B$5:$B$104,B12)&gt;1),"Overlap: "&amp;COUNTIF($B$5:$B$104,B12)&amp;" "&amp;B12&amp;" tools. ","")&amp;IF(AND(L12&lt;&gt;"",L12&gt;=14),"Idle "&amp;L12&amp;" days. ","")&amp;IF(AND(M12&lt;&gt;"",N12&lt;&gt;"",M12&gt;N12),M12-N12&amp;" unused seat(s). ",""))</f>
        <v/>
      </c>
      <c r="P12" s="21"/>
      <c r="Q12" s="22"/>
      <c r="R12" s="23" t="str">
        <f aca="false">IF(OR(F12="",P12=""),"",IF(P12="Cancel",F12,IF(AND(P12="Downgrade",Q12&lt;&gt;""),MAX(F12-Q12,0),0)))</f>
        <v/>
      </c>
      <c r="S12" s="23" t="str">
        <f aca="false">IF(R12="","",R12*12)</f>
        <v/>
      </c>
      <c r="T12" s="29"/>
    </row>
    <row r="13" customFormat="false" ht="15" hidden="false" customHeight="false" outlineLevel="0" collapsed="false">
      <c r="A13" s="21"/>
      <c r="B13" s="21"/>
      <c r="C13" s="21"/>
      <c r="D13" s="22"/>
      <c r="E13" s="21"/>
      <c r="F13" s="23" t="str">
        <f aca="false">IF(D13="","",D13/IFERROR(INDEX(Lists!$D$2:$D$4,MATCH(E13,Lists!$C$2:$C$4,0)),1))</f>
        <v/>
      </c>
      <c r="G13" s="23" t="str">
        <f aca="false">IF(F13="","",F13*12)</f>
        <v/>
      </c>
      <c r="H13" s="24"/>
      <c r="I13" s="25" t="str">
        <f aca="false">IF(H13="","",H13-$B$3)</f>
        <v/>
      </c>
      <c r="J13" s="26" t="str">
        <f aca="false">IF(I13="","",IF(I13&lt;0,"Past - update date",IF(I13=0,"Renews TODAY",IF(I13&lt;=1,"1 day",IF(I13&lt;=3,"3 days",IF(I13&lt;=7,"7 days",IF(I13&lt;=30,"30 days","OK")))))))</f>
        <v/>
      </c>
      <c r="K13" s="24"/>
      <c r="L13" s="25" t="str">
        <f aca="false">IF(K13="","",$B$3-K13)</f>
        <v/>
      </c>
      <c r="M13" s="27"/>
      <c r="N13" s="27"/>
      <c r="O13" s="28" t="str">
        <f aca="false">IF(A13="","",IF(AND(B13&lt;&gt;"",COUNTIF($B$5:$B$104,B13)&gt;1),"Overlap: "&amp;COUNTIF($B$5:$B$104,B13)&amp;" "&amp;B13&amp;" tools. ","")&amp;IF(AND(L13&lt;&gt;"",L13&gt;=14),"Idle "&amp;L13&amp;" days. ","")&amp;IF(AND(M13&lt;&gt;"",N13&lt;&gt;"",M13&gt;N13),M13-N13&amp;" unused seat(s). ",""))</f>
        <v/>
      </c>
      <c r="P13" s="21"/>
      <c r="Q13" s="22"/>
      <c r="R13" s="23" t="str">
        <f aca="false">IF(OR(F13="",P13=""),"",IF(P13="Cancel",F13,IF(AND(P13="Downgrade",Q13&lt;&gt;""),MAX(F13-Q13,0),0)))</f>
        <v/>
      </c>
      <c r="S13" s="23" t="str">
        <f aca="false">IF(R13="","",R13*12)</f>
        <v/>
      </c>
      <c r="T13" s="29"/>
    </row>
    <row r="14" customFormat="false" ht="15" hidden="false" customHeight="false" outlineLevel="0" collapsed="false">
      <c r="A14" s="21"/>
      <c r="B14" s="21"/>
      <c r="C14" s="21"/>
      <c r="D14" s="22"/>
      <c r="E14" s="21"/>
      <c r="F14" s="23" t="str">
        <f aca="false">IF(D14="","",D14/IFERROR(INDEX(Lists!$D$2:$D$4,MATCH(E14,Lists!$C$2:$C$4,0)),1))</f>
        <v/>
      </c>
      <c r="G14" s="23" t="str">
        <f aca="false">IF(F14="","",F14*12)</f>
        <v/>
      </c>
      <c r="H14" s="24"/>
      <c r="I14" s="25" t="str">
        <f aca="false">IF(H14="","",H14-$B$3)</f>
        <v/>
      </c>
      <c r="J14" s="26" t="str">
        <f aca="false">IF(I14="","",IF(I14&lt;0,"Past - update date",IF(I14=0,"Renews TODAY",IF(I14&lt;=1,"1 day",IF(I14&lt;=3,"3 days",IF(I14&lt;=7,"7 days",IF(I14&lt;=30,"30 days","OK")))))))</f>
        <v/>
      </c>
      <c r="K14" s="24"/>
      <c r="L14" s="25" t="str">
        <f aca="false">IF(K14="","",$B$3-K14)</f>
        <v/>
      </c>
      <c r="M14" s="27"/>
      <c r="N14" s="27"/>
      <c r="O14" s="28" t="str">
        <f aca="false">IF(A14="","",IF(AND(B14&lt;&gt;"",COUNTIF($B$5:$B$104,B14)&gt;1),"Overlap: "&amp;COUNTIF($B$5:$B$104,B14)&amp;" "&amp;B14&amp;" tools. ","")&amp;IF(AND(L14&lt;&gt;"",L14&gt;=14),"Idle "&amp;L14&amp;" days. ","")&amp;IF(AND(M14&lt;&gt;"",N14&lt;&gt;"",M14&gt;N14),M14-N14&amp;" unused seat(s). ",""))</f>
        <v/>
      </c>
      <c r="P14" s="21"/>
      <c r="Q14" s="22"/>
      <c r="R14" s="23" t="str">
        <f aca="false">IF(OR(F14="",P14=""),"",IF(P14="Cancel",F14,IF(AND(P14="Downgrade",Q14&lt;&gt;""),MAX(F14-Q14,0),0)))</f>
        <v/>
      </c>
      <c r="S14" s="23" t="str">
        <f aca="false">IF(R14="","",R14*12)</f>
        <v/>
      </c>
      <c r="T14" s="29"/>
    </row>
    <row r="15" customFormat="false" ht="15" hidden="false" customHeight="false" outlineLevel="0" collapsed="false">
      <c r="A15" s="21"/>
      <c r="B15" s="21"/>
      <c r="C15" s="21"/>
      <c r="D15" s="22"/>
      <c r="E15" s="21"/>
      <c r="F15" s="23" t="str">
        <f aca="false">IF(D15="","",D15/IFERROR(INDEX(Lists!$D$2:$D$4,MATCH(E15,Lists!$C$2:$C$4,0)),1))</f>
        <v/>
      </c>
      <c r="G15" s="23" t="str">
        <f aca="false">IF(F15="","",F15*12)</f>
        <v/>
      </c>
      <c r="H15" s="24"/>
      <c r="I15" s="25" t="str">
        <f aca="false">IF(H15="","",H15-$B$3)</f>
        <v/>
      </c>
      <c r="J15" s="26" t="str">
        <f aca="false">IF(I15="","",IF(I15&lt;0,"Past - update date",IF(I15=0,"Renews TODAY",IF(I15&lt;=1,"1 day",IF(I15&lt;=3,"3 days",IF(I15&lt;=7,"7 days",IF(I15&lt;=30,"30 days","OK")))))))</f>
        <v/>
      </c>
      <c r="K15" s="24"/>
      <c r="L15" s="25" t="str">
        <f aca="false">IF(K15="","",$B$3-K15)</f>
        <v/>
      </c>
      <c r="M15" s="27"/>
      <c r="N15" s="27"/>
      <c r="O15" s="28" t="str">
        <f aca="false">IF(A15="","",IF(AND(B15&lt;&gt;"",COUNTIF($B$5:$B$104,B15)&gt;1),"Overlap: "&amp;COUNTIF($B$5:$B$104,B15)&amp;" "&amp;B15&amp;" tools. ","")&amp;IF(AND(L15&lt;&gt;"",L15&gt;=14),"Idle "&amp;L15&amp;" days. ","")&amp;IF(AND(M15&lt;&gt;"",N15&lt;&gt;"",M15&gt;N15),M15-N15&amp;" unused seat(s). ",""))</f>
        <v/>
      </c>
      <c r="P15" s="21"/>
      <c r="Q15" s="22"/>
      <c r="R15" s="23" t="str">
        <f aca="false">IF(OR(F15="",P15=""),"",IF(P15="Cancel",F15,IF(AND(P15="Downgrade",Q15&lt;&gt;""),MAX(F15-Q15,0),0)))</f>
        <v/>
      </c>
      <c r="S15" s="23" t="str">
        <f aca="false">IF(R15="","",R15*12)</f>
        <v/>
      </c>
      <c r="T15" s="29"/>
    </row>
    <row r="16" customFormat="false" ht="15" hidden="false" customHeight="false" outlineLevel="0" collapsed="false">
      <c r="A16" s="21"/>
      <c r="B16" s="21"/>
      <c r="C16" s="21"/>
      <c r="D16" s="22"/>
      <c r="E16" s="21"/>
      <c r="F16" s="23" t="str">
        <f aca="false">IF(D16="","",D16/IFERROR(INDEX(Lists!$D$2:$D$4,MATCH(E16,Lists!$C$2:$C$4,0)),1))</f>
        <v/>
      </c>
      <c r="G16" s="23" t="str">
        <f aca="false">IF(F16="","",F16*12)</f>
        <v/>
      </c>
      <c r="H16" s="24"/>
      <c r="I16" s="25" t="str">
        <f aca="false">IF(H16="","",H16-$B$3)</f>
        <v/>
      </c>
      <c r="J16" s="26" t="str">
        <f aca="false">IF(I16="","",IF(I16&lt;0,"Past - update date",IF(I16=0,"Renews TODAY",IF(I16&lt;=1,"1 day",IF(I16&lt;=3,"3 days",IF(I16&lt;=7,"7 days",IF(I16&lt;=30,"30 days","OK")))))))</f>
        <v/>
      </c>
      <c r="K16" s="24"/>
      <c r="L16" s="25" t="str">
        <f aca="false">IF(K16="","",$B$3-K16)</f>
        <v/>
      </c>
      <c r="M16" s="27"/>
      <c r="N16" s="27"/>
      <c r="O16" s="28" t="str">
        <f aca="false">IF(A16="","",IF(AND(B16&lt;&gt;"",COUNTIF($B$5:$B$104,B16)&gt;1),"Overlap: "&amp;COUNTIF($B$5:$B$104,B16)&amp;" "&amp;B16&amp;" tools. ","")&amp;IF(AND(L16&lt;&gt;"",L16&gt;=14),"Idle "&amp;L16&amp;" days. ","")&amp;IF(AND(M16&lt;&gt;"",N16&lt;&gt;"",M16&gt;N16),M16-N16&amp;" unused seat(s). ",""))</f>
        <v/>
      </c>
      <c r="P16" s="21"/>
      <c r="Q16" s="22"/>
      <c r="R16" s="23" t="str">
        <f aca="false">IF(OR(F16="",P16=""),"",IF(P16="Cancel",F16,IF(AND(P16="Downgrade",Q16&lt;&gt;""),MAX(F16-Q16,0),0)))</f>
        <v/>
      </c>
      <c r="S16" s="23" t="str">
        <f aca="false">IF(R16="","",R16*12)</f>
        <v/>
      </c>
      <c r="T16" s="29"/>
    </row>
    <row r="17" customFormat="false" ht="15" hidden="false" customHeight="false" outlineLevel="0" collapsed="false">
      <c r="A17" s="21"/>
      <c r="B17" s="21"/>
      <c r="C17" s="21"/>
      <c r="D17" s="22"/>
      <c r="E17" s="21"/>
      <c r="F17" s="23" t="str">
        <f aca="false">IF(D17="","",D17/IFERROR(INDEX(Lists!$D$2:$D$4,MATCH(E17,Lists!$C$2:$C$4,0)),1))</f>
        <v/>
      </c>
      <c r="G17" s="23" t="str">
        <f aca="false">IF(F17="","",F17*12)</f>
        <v/>
      </c>
      <c r="H17" s="24"/>
      <c r="I17" s="25" t="str">
        <f aca="false">IF(H17="","",H17-$B$3)</f>
        <v/>
      </c>
      <c r="J17" s="26" t="str">
        <f aca="false">IF(I17="","",IF(I17&lt;0,"Past - update date",IF(I17=0,"Renews TODAY",IF(I17&lt;=1,"1 day",IF(I17&lt;=3,"3 days",IF(I17&lt;=7,"7 days",IF(I17&lt;=30,"30 days","OK")))))))</f>
        <v/>
      </c>
      <c r="K17" s="24"/>
      <c r="L17" s="25" t="str">
        <f aca="false">IF(K17="","",$B$3-K17)</f>
        <v/>
      </c>
      <c r="M17" s="27"/>
      <c r="N17" s="27"/>
      <c r="O17" s="28" t="str">
        <f aca="false">IF(A17="","",IF(AND(B17&lt;&gt;"",COUNTIF($B$5:$B$104,B17)&gt;1),"Overlap: "&amp;COUNTIF($B$5:$B$104,B17)&amp;" "&amp;B17&amp;" tools. ","")&amp;IF(AND(L17&lt;&gt;"",L17&gt;=14),"Idle "&amp;L17&amp;" days. ","")&amp;IF(AND(M17&lt;&gt;"",N17&lt;&gt;"",M17&gt;N17),M17-N17&amp;" unused seat(s). ",""))</f>
        <v/>
      </c>
      <c r="P17" s="21"/>
      <c r="Q17" s="22"/>
      <c r="R17" s="23" t="str">
        <f aca="false">IF(OR(F17="",P17=""),"",IF(P17="Cancel",F17,IF(AND(P17="Downgrade",Q17&lt;&gt;""),MAX(F17-Q17,0),0)))</f>
        <v/>
      </c>
      <c r="S17" s="23" t="str">
        <f aca="false">IF(R17="","",R17*12)</f>
        <v/>
      </c>
      <c r="T17" s="29"/>
    </row>
    <row r="18" customFormat="false" ht="15" hidden="false" customHeight="false" outlineLevel="0" collapsed="false">
      <c r="A18" s="21"/>
      <c r="B18" s="21"/>
      <c r="C18" s="21"/>
      <c r="D18" s="22"/>
      <c r="E18" s="21"/>
      <c r="F18" s="23" t="str">
        <f aca="false">IF(D18="","",D18/IFERROR(INDEX(Lists!$D$2:$D$4,MATCH(E18,Lists!$C$2:$C$4,0)),1))</f>
        <v/>
      </c>
      <c r="G18" s="23" t="str">
        <f aca="false">IF(F18="","",F18*12)</f>
        <v/>
      </c>
      <c r="H18" s="24"/>
      <c r="I18" s="25" t="str">
        <f aca="false">IF(H18="","",H18-$B$3)</f>
        <v/>
      </c>
      <c r="J18" s="26" t="str">
        <f aca="false">IF(I18="","",IF(I18&lt;0,"Past - update date",IF(I18=0,"Renews TODAY",IF(I18&lt;=1,"1 day",IF(I18&lt;=3,"3 days",IF(I18&lt;=7,"7 days",IF(I18&lt;=30,"30 days","OK")))))))</f>
        <v/>
      </c>
      <c r="K18" s="24"/>
      <c r="L18" s="25" t="str">
        <f aca="false">IF(K18="","",$B$3-K18)</f>
        <v/>
      </c>
      <c r="M18" s="27"/>
      <c r="N18" s="27"/>
      <c r="O18" s="28" t="str">
        <f aca="false">IF(A18="","",IF(AND(B18&lt;&gt;"",COUNTIF($B$5:$B$104,B18)&gt;1),"Overlap: "&amp;COUNTIF($B$5:$B$104,B18)&amp;" "&amp;B18&amp;" tools. ","")&amp;IF(AND(L18&lt;&gt;"",L18&gt;=14),"Idle "&amp;L18&amp;" days. ","")&amp;IF(AND(M18&lt;&gt;"",N18&lt;&gt;"",M18&gt;N18),M18-N18&amp;" unused seat(s). ",""))</f>
        <v/>
      </c>
      <c r="P18" s="21"/>
      <c r="Q18" s="22"/>
      <c r="R18" s="23" t="str">
        <f aca="false">IF(OR(F18="",P18=""),"",IF(P18="Cancel",F18,IF(AND(P18="Downgrade",Q18&lt;&gt;""),MAX(F18-Q18,0),0)))</f>
        <v/>
      </c>
      <c r="S18" s="23" t="str">
        <f aca="false">IF(R18="","",R18*12)</f>
        <v/>
      </c>
      <c r="T18" s="29"/>
    </row>
    <row r="19" customFormat="false" ht="15" hidden="false" customHeight="false" outlineLevel="0" collapsed="false">
      <c r="A19" s="21"/>
      <c r="B19" s="21"/>
      <c r="C19" s="21"/>
      <c r="D19" s="22"/>
      <c r="E19" s="21"/>
      <c r="F19" s="23" t="str">
        <f aca="false">IF(D19="","",D19/IFERROR(INDEX(Lists!$D$2:$D$4,MATCH(E19,Lists!$C$2:$C$4,0)),1))</f>
        <v/>
      </c>
      <c r="G19" s="23" t="str">
        <f aca="false">IF(F19="","",F19*12)</f>
        <v/>
      </c>
      <c r="H19" s="24"/>
      <c r="I19" s="25" t="str">
        <f aca="false">IF(H19="","",H19-$B$3)</f>
        <v/>
      </c>
      <c r="J19" s="26" t="str">
        <f aca="false">IF(I19="","",IF(I19&lt;0,"Past - update date",IF(I19=0,"Renews TODAY",IF(I19&lt;=1,"1 day",IF(I19&lt;=3,"3 days",IF(I19&lt;=7,"7 days",IF(I19&lt;=30,"30 days","OK")))))))</f>
        <v/>
      </c>
      <c r="K19" s="24"/>
      <c r="L19" s="25" t="str">
        <f aca="false">IF(K19="","",$B$3-K19)</f>
        <v/>
      </c>
      <c r="M19" s="27"/>
      <c r="N19" s="27"/>
      <c r="O19" s="28" t="str">
        <f aca="false">IF(A19="","",IF(AND(B19&lt;&gt;"",COUNTIF($B$5:$B$104,B19)&gt;1),"Overlap: "&amp;COUNTIF($B$5:$B$104,B19)&amp;" "&amp;B19&amp;" tools. ","")&amp;IF(AND(L19&lt;&gt;"",L19&gt;=14),"Idle "&amp;L19&amp;" days. ","")&amp;IF(AND(M19&lt;&gt;"",N19&lt;&gt;"",M19&gt;N19),M19-N19&amp;" unused seat(s). ",""))</f>
        <v/>
      </c>
      <c r="P19" s="21"/>
      <c r="Q19" s="22"/>
      <c r="R19" s="23" t="str">
        <f aca="false">IF(OR(F19="",P19=""),"",IF(P19="Cancel",F19,IF(AND(P19="Downgrade",Q19&lt;&gt;""),MAX(F19-Q19,0),0)))</f>
        <v/>
      </c>
      <c r="S19" s="23" t="str">
        <f aca="false">IF(R19="","",R19*12)</f>
        <v/>
      </c>
      <c r="T19" s="29"/>
    </row>
    <row r="20" customFormat="false" ht="15" hidden="false" customHeight="false" outlineLevel="0" collapsed="false">
      <c r="A20" s="21"/>
      <c r="B20" s="21"/>
      <c r="C20" s="21"/>
      <c r="D20" s="22"/>
      <c r="E20" s="21"/>
      <c r="F20" s="23" t="str">
        <f aca="false">IF(D20="","",D20/IFERROR(INDEX(Lists!$D$2:$D$4,MATCH(E20,Lists!$C$2:$C$4,0)),1))</f>
        <v/>
      </c>
      <c r="G20" s="23" t="str">
        <f aca="false">IF(F20="","",F20*12)</f>
        <v/>
      </c>
      <c r="H20" s="24"/>
      <c r="I20" s="25" t="str">
        <f aca="false">IF(H20="","",H20-$B$3)</f>
        <v/>
      </c>
      <c r="J20" s="26" t="str">
        <f aca="false">IF(I20="","",IF(I20&lt;0,"Past - update date",IF(I20=0,"Renews TODAY",IF(I20&lt;=1,"1 day",IF(I20&lt;=3,"3 days",IF(I20&lt;=7,"7 days",IF(I20&lt;=30,"30 days","OK")))))))</f>
        <v/>
      </c>
      <c r="K20" s="24"/>
      <c r="L20" s="25" t="str">
        <f aca="false">IF(K20="","",$B$3-K20)</f>
        <v/>
      </c>
      <c r="M20" s="27"/>
      <c r="N20" s="27"/>
      <c r="O20" s="28" t="str">
        <f aca="false">IF(A20="","",IF(AND(B20&lt;&gt;"",COUNTIF($B$5:$B$104,B20)&gt;1),"Overlap: "&amp;COUNTIF($B$5:$B$104,B20)&amp;" "&amp;B20&amp;" tools. ","")&amp;IF(AND(L20&lt;&gt;"",L20&gt;=14),"Idle "&amp;L20&amp;" days. ","")&amp;IF(AND(M20&lt;&gt;"",N20&lt;&gt;"",M20&gt;N20),M20-N20&amp;" unused seat(s). ",""))</f>
        <v/>
      </c>
      <c r="P20" s="21"/>
      <c r="Q20" s="22"/>
      <c r="R20" s="23" t="str">
        <f aca="false">IF(OR(F20="",P20=""),"",IF(P20="Cancel",F20,IF(AND(P20="Downgrade",Q20&lt;&gt;""),MAX(F20-Q20,0),0)))</f>
        <v/>
      </c>
      <c r="S20" s="23" t="str">
        <f aca="false">IF(R20="","",R20*12)</f>
        <v/>
      </c>
      <c r="T20" s="29"/>
    </row>
    <row r="21" customFormat="false" ht="15" hidden="false" customHeight="false" outlineLevel="0" collapsed="false">
      <c r="A21" s="21"/>
      <c r="B21" s="21"/>
      <c r="C21" s="21"/>
      <c r="D21" s="22"/>
      <c r="E21" s="21"/>
      <c r="F21" s="23" t="str">
        <f aca="false">IF(D21="","",D21/IFERROR(INDEX(Lists!$D$2:$D$4,MATCH(E21,Lists!$C$2:$C$4,0)),1))</f>
        <v/>
      </c>
      <c r="G21" s="23" t="str">
        <f aca="false">IF(F21="","",F21*12)</f>
        <v/>
      </c>
      <c r="H21" s="24"/>
      <c r="I21" s="25" t="str">
        <f aca="false">IF(H21="","",H21-$B$3)</f>
        <v/>
      </c>
      <c r="J21" s="26" t="str">
        <f aca="false">IF(I21="","",IF(I21&lt;0,"Past - update date",IF(I21=0,"Renews TODAY",IF(I21&lt;=1,"1 day",IF(I21&lt;=3,"3 days",IF(I21&lt;=7,"7 days",IF(I21&lt;=30,"30 days","OK")))))))</f>
        <v/>
      </c>
      <c r="K21" s="24"/>
      <c r="L21" s="25" t="str">
        <f aca="false">IF(K21="","",$B$3-K21)</f>
        <v/>
      </c>
      <c r="M21" s="27"/>
      <c r="N21" s="27"/>
      <c r="O21" s="28" t="str">
        <f aca="false">IF(A21="","",IF(AND(B21&lt;&gt;"",COUNTIF($B$5:$B$104,B21)&gt;1),"Overlap: "&amp;COUNTIF($B$5:$B$104,B21)&amp;" "&amp;B21&amp;" tools. ","")&amp;IF(AND(L21&lt;&gt;"",L21&gt;=14),"Idle "&amp;L21&amp;" days. ","")&amp;IF(AND(M21&lt;&gt;"",N21&lt;&gt;"",M21&gt;N21),M21-N21&amp;" unused seat(s). ",""))</f>
        <v/>
      </c>
      <c r="P21" s="21"/>
      <c r="Q21" s="22"/>
      <c r="R21" s="23" t="str">
        <f aca="false">IF(OR(F21="",P21=""),"",IF(P21="Cancel",F21,IF(AND(P21="Downgrade",Q21&lt;&gt;""),MAX(F21-Q21,0),0)))</f>
        <v/>
      </c>
      <c r="S21" s="23" t="str">
        <f aca="false">IF(R21="","",R21*12)</f>
        <v/>
      </c>
      <c r="T21" s="29"/>
    </row>
    <row r="22" customFormat="false" ht="15" hidden="false" customHeight="false" outlineLevel="0" collapsed="false">
      <c r="A22" s="21"/>
      <c r="B22" s="21"/>
      <c r="C22" s="21"/>
      <c r="D22" s="22"/>
      <c r="E22" s="21"/>
      <c r="F22" s="23" t="str">
        <f aca="false">IF(D22="","",D22/IFERROR(INDEX(Lists!$D$2:$D$4,MATCH(E22,Lists!$C$2:$C$4,0)),1))</f>
        <v/>
      </c>
      <c r="G22" s="23" t="str">
        <f aca="false">IF(F22="","",F22*12)</f>
        <v/>
      </c>
      <c r="H22" s="24"/>
      <c r="I22" s="25" t="str">
        <f aca="false">IF(H22="","",H22-$B$3)</f>
        <v/>
      </c>
      <c r="J22" s="26" t="str">
        <f aca="false">IF(I22="","",IF(I22&lt;0,"Past - update date",IF(I22=0,"Renews TODAY",IF(I22&lt;=1,"1 day",IF(I22&lt;=3,"3 days",IF(I22&lt;=7,"7 days",IF(I22&lt;=30,"30 days","OK")))))))</f>
        <v/>
      </c>
      <c r="K22" s="24"/>
      <c r="L22" s="25" t="str">
        <f aca="false">IF(K22="","",$B$3-K22)</f>
        <v/>
      </c>
      <c r="M22" s="27"/>
      <c r="N22" s="27"/>
      <c r="O22" s="28" t="str">
        <f aca="false">IF(A22="","",IF(AND(B22&lt;&gt;"",COUNTIF($B$5:$B$104,B22)&gt;1),"Overlap: "&amp;COUNTIF($B$5:$B$104,B22)&amp;" "&amp;B22&amp;" tools. ","")&amp;IF(AND(L22&lt;&gt;"",L22&gt;=14),"Idle "&amp;L22&amp;" days. ","")&amp;IF(AND(M22&lt;&gt;"",N22&lt;&gt;"",M22&gt;N22),M22-N22&amp;" unused seat(s). ",""))</f>
        <v/>
      </c>
      <c r="P22" s="21"/>
      <c r="Q22" s="22"/>
      <c r="R22" s="23" t="str">
        <f aca="false">IF(OR(F22="",P22=""),"",IF(P22="Cancel",F22,IF(AND(P22="Downgrade",Q22&lt;&gt;""),MAX(F22-Q22,0),0)))</f>
        <v/>
      </c>
      <c r="S22" s="23" t="str">
        <f aca="false">IF(R22="","",R22*12)</f>
        <v/>
      </c>
      <c r="T22" s="29"/>
    </row>
    <row r="23" customFormat="false" ht="15" hidden="false" customHeight="false" outlineLevel="0" collapsed="false">
      <c r="A23" s="21"/>
      <c r="B23" s="21"/>
      <c r="C23" s="21"/>
      <c r="D23" s="22"/>
      <c r="E23" s="21"/>
      <c r="F23" s="23" t="str">
        <f aca="false">IF(D23="","",D23/IFERROR(INDEX(Lists!$D$2:$D$4,MATCH(E23,Lists!$C$2:$C$4,0)),1))</f>
        <v/>
      </c>
      <c r="G23" s="23" t="str">
        <f aca="false">IF(F23="","",F23*12)</f>
        <v/>
      </c>
      <c r="H23" s="24"/>
      <c r="I23" s="25" t="str">
        <f aca="false">IF(H23="","",H23-$B$3)</f>
        <v/>
      </c>
      <c r="J23" s="26" t="str">
        <f aca="false">IF(I23="","",IF(I23&lt;0,"Past - update date",IF(I23=0,"Renews TODAY",IF(I23&lt;=1,"1 day",IF(I23&lt;=3,"3 days",IF(I23&lt;=7,"7 days",IF(I23&lt;=30,"30 days","OK")))))))</f>
        <v/>
      </c>
      <c r="K23" s="24"/>
      <c r="L23" s="25" t="str">
        <f aca="false">IF(K23="","",$B$3-K23)</f>
        <v/>
      </c>
      <c r="M23" s="27"/>
      <c r="N23" s="27"/>
      <c r="O23" s="28" t="str">
        <f aca="false">IF(A23="","",IF(AND(B23&lt;&gt;"",COUNTIF($B$5:$B$104,B23)&gt;1),"Overlap: "&amp;COUNTIF($B$5:$B$104,B23)&amp;" "&amp;B23&amp;" tools. ","")&amp;IF(AND(L23&lt;&gt;"",L23&gt;=14),"Idle "&amp;L23&amp;" days. ","")&amp;IF(AND(M23&lt;&gt;"",N23&lt;&gt;"",M23&gt;N23),M23-N23&amp;" unused seat(s). ",""))</f>
        <v/>
      </c>
      <c r="P23" s="21"/>
      <c r="Q23" s="22"/>
      <c r="R23" s="23" t="str">
        <f aca="false">IF(OR(F23="",P23=""),"",IF(P23="Cancel",F23,IF(AND(P23="Downgrade",Q23&lt;&gt;""),MAX(F23-Q23,0),0)))</f>
        <v/>
      </c>
      <c r="S23" s="23" t="str">
        <f aca="false">IF(R23="","",R23*12)</f>
        <v/>
      </c>
      <c r="T23" s="29"/>
    </row>
    <row r="24" customFormat="false" ht="15" hidden="false" customHeight="false" outlineLevel="0" collapsed="false">
      <c r="A24" s="21"/>
      <c r="B24" s="21"/>
      <c r="C24" s="21"/>
      <c r="D24" s="22"/>
      <c r="E24" s="21"/>
      <c r="F24" s="23" t="str">
        <f aca="false">IF(D24="","",D24/IFERROR(INDEX(Lists!$D$2:$D$4,MATCH(E24,Lists!$C$2:$C$4,0)),1))</f>
        <v/>
      </c>
      <c r="G24" s="23" t="str">
        <f aca="false">IF(F24="","",F24*12)</f>
        <v/>
      </c>
      <c r="H24" s="24"/>
      <c r="I24" s="25" t="str">
        <f aca="false">IF(H24="","",H24-$B$3)</f>
        <v/>
      </c>
      <c r="J24" s="26" t="str">
        <f aca="false">IF(I24="","",IF(I24&lt;0,"Past - update date",IF(I24=0,"Renews TODAY",IF(I24&lt;=1,"1 day",IF(I24&lt;=3,"3 days",IF(I24&lt;=7,"7 days",IF(I24&lt;=30,"30 days","OK")))))))</f>
        <v/>
      </c>
      <c r="K24" s="24"/>
      <c r="L24" s="25" t="str">
        <f aca="false">IF(K24="","",$B$3-K24)</f>
        <v/>
      </c>
      <c r="M24" s="27"/>
      <c r="N24" s="27"/>
      <c r="O24" s="28" t="str">
        <f aca="false">IF(A24="","",IF(AND(B24&lt;&gt;"",COUNTIF($B$5:$B$104,B24)&gt;1),"Overlap: "&amp;COUNTIF($B$5:$B$104,B24)&amp;" "&amp;B24&amp;" tools. ","")&amp;IF(AND(L24&lt;&gt;"",L24&gt;=14),"Idle "&amp;L24&amp;" days. ","")&amp;IF(AND(M24&lt;&gt;"",N24&lt;&gt;"",M24&gt;N24),M24-N24&amp;" unused seat(s). ",""))</f>
        <v/>
      </c>
      <c r="P24" s="21"/>
      <c r="Q24" s="22"/>
      <c r="R24" s="23" t="str">
        <f aca="false">IF(OR(F24="",P24=""),"",IF(P24="Cancel",F24,IF(AND(P24="Downgrade",Q24&lt;&gt;""),MAX(F24-Q24,0),0)))</f>
        <v/>
      </c>
      <c r="S24" s="23" t="str">
        <f aca="false">IF(R24="","",R24*12)</f>
        <v/>
      </c>
      <c r="T24" s="29"/>
    </row>
    <row r="25" customFormat="false" ht="15" hidden="false" customHeight="false" outlineLevel="0" collapsed="false">
      <c r="A25" s="21"/>
      <c r="B25" s="21"/>
      <c r="C25" s="21"/>
      <c r="D25" s="22"/>
      <c r="E25" s="21"/>
      <c r="F25" s="23" t="str">
        <f aca="false">IF(D25="","",D25/IFERROR(INDEX(Lists!$D$2:$D$4,MATCH(E25,Lists!$C$2:$C$4,0)),1))</f>
        <v/>
      </c>
      <c r="G25" s="23" t="str">
        <f aca="false">IF(F25="","",F25*12)</f>
        <v/>
      </c>
      <c r="H25" s="24"/>
      <c r="I25" s="25" t="str">
        <f aca="false">IF(H25="","",H25-$B$3)</f>
        <v/>
      </c>
      <c r="J25" s="26" t="str">
        <f aca="false">IF(I25="","",IF(I25&lt;0,"Past - update date",IF(I25=0,"Renews TODAY",IF(I25&lt;=1,"1 day",IF(I25&lt;=3,"3 days",IF(I25&lt;=7,"7 days",IF(I25&lt;=30,"30 days","OK")))))))</f>
        <v/>
      </c>
      <c r="K25" s="24"/>
      <c r="L25" s="25" t="str">
        <f aca="false">IF(K25="","",$B$3-K25)</f>
        <v/>
      </c>
      <c r="M25" s="27"/>
      <c r="N25" s="27"/>
      <c r="O25" s="28" t="str">
        <f aca="false">IF(A25="","",IF(AND(B25&lt;&gt;"",COUNTIF($B$5:$B$104,B25)&gt;1),"Overlap: "&amp;COUNTIF($B$5:$B$104,B25)&amp;" "&amp;B25&amp;" tools. ","")&amp;IF(AND(L25&lt;&gt;"",L25&gt;=14),"Idle "&amp;L25&amp;" days. ","")&amp;IF(AND(M25&lt;&gt;"",N25&lt;&gt;"",M25&gt;N25),M25-N25&amp;" unused seat(s). ",""))</f>
        <v/>
      </c>
      <c r="P25" s="21"/>
      <c r="Q25" s="22"/>
      <c r="R25" s="23" t="str">
        <f aca="false">IF(OR(F25="",P25=""),"",IF(P25="Cancel",F25,IF(AND(P25="Downgrade",Q25&lt;&gt;""),MAX(F25-Q25,0),0)))</f>
        <v/>
      </c>
      <c r="S25" s="23" t="str">
        <f aca="false">IF(R25="","",R25*12)</f>
        <v/>
      </c>
      <c r="T25" s="29"/>
    </row>
    <row r="26" customFormat="false" ht="15" hidden="false" customHeight="false" outlineLevel="0" collapsed="false">
      <c r="A26" s="21"/>
      <c r="B26" s="21"/>
      <c r="C26" s="21"/>
      <c r="D26" s="22"/>
      <c r="E26" s="21"/>
      <c r="F26" s="23" t="str">
        <f aca="false">IF(D26="","",D26/IFERROR(INDEX(Lists!$D$2:$D$4,MATCH(E26,Lists!$C$2:$C$4,0)),1))</f>
        <v/>
      </c>
      <c r="G26" s="23" t="str">
        <f aca="false">IF(F26="","",F26*12)</f>
        <v/>
      </c>
      <c r="H26" s="24"/>
      <c r="I26" s="25" t="str">
        <f aca="false">IF(H26="","",H26-$B$3)</f>
        <v/>
      </c>
      <c r="J26" s="26" t="str">
        <f aca="false">IF(I26="","",IF(I26&lt;0,"Past - update date",IF(I26=0,"Renews TODAY",IF(I26&lt;=1,"1 day",IF(I26&lt;=3,"3 days",IF(I26&lt;=7,"7 days",IF(I26&lt;=30,"30 days","OK")))))))</f>
        <v/>
      </c>
      <c r="K26" s="24"/>
      <c r="L26" s="25" t="str">
        <f aca="false">IF(K26="","",$B$3-K26)</f>
        <v/>
      </c>
      <c r="M26" s="27"/>
      <c r="N26" s="27"/>
      <c r="O26" s="28" t="str">
        <f aca="false">IF(A26="","",IF(AND(B26&lt;&gt;"",COUNTIF($B$5:$B$104,B26)&gt;1),"Overlap: "&amp;COUNTIF($B$5:$B$104,B26)&amp;" "&amp;B26&amp;" tools. ","")&amp;IF(AND(L26&lt;&gt;"",L26&gt;=14),"Idle "&amp;L26&amp;" days. ","")&amp;IF(AND(M26&lt;&gt;"",N26&lt;&gt;"",M26&gt;N26),M26-N26&amp;" unused seat(s). ",""))</f>
        <v/>
      </c>
      <c r="P26" s="21"/>
      <c r="Q26" s="22"/>
      <c r="R26" s="23" t="str">
        <f aca="false">IF(OR(F26="",P26=""),"",IF(P26="Cancel",F26,IF(AND(P26="Downgrade",Q26&lt;&gt;""),MAX(F26-Q26,0),0)))</f>
        <v/>
      </c>
      <c r="S26" s="23" t="str">
        <f aca="false">IF(R26="","",R26*12)</f>
        <v/>
      </c>
      <c r="T26" s="29"/>
    </row>
    <row r="27" customFormat="false" ht="15" hidden="false" customHeight="false" outlineLevel="0" collapsed="false">
      <c r="A27" s="21"/>
      <c r="B27" s="21"/>
      <c r="C27" s="21"/>
      <c r="D27" s="22"/>
      <c r="E27" s="21"/>
      <c r="F27" s="23" t="str">
        <f aca="false">IF(D27="","",D27/IFERROR(INDEX(Lists!$D$2:$D$4,MATCH(E27,Lists!$C$2:$C$4,0)),1))</f>
        <v/>
      </c>
      <c r="G27" s="23" t="str">
        <f aca="false">IF(F27="","",F27*12)</f>
        <v/>
      </c>
      <c r="H27" s="24"/>
      <c r="I27" s="25" t="str">
        <f aca="false">IF(H27="","",H27-$B$3)</f>
        <v/>
      </c>
      <c r="J27" s="26" t="str">
        <f aca="false">IF(I27="","",IF(I27&lt;0,"Past - update date",IF(I27=0,"Renews TODAY",IF(I27&lt;=1,"1 day",IF(I27&lt;=3,"3 days",IF(I27&lt;=7,"7 days",IF(I27&lt;=30,"30 days","OK")))))))</f>
        <v/>
      </c>
      <c r="K27" s="24"/>
      <c r="L27" s="25" t="str">
        <f aca="false">IF(K27="","",$B$3-K27)</f>
        <v/>
      </c>
      <c r="M27" s="27"/>
      <c r="N27" s="27"/>
      <c r="O27" s="28" t="str">
        <f aca="false">IF(A27="","",IF(AND(B27&lt;&gt;"",COUNTIF($B$5:$B$104,B27)&gt;1),"Overlap: "&amp;COUNTIF($B$5:$B$104,B27)&amp;" "&amp;B27&amp;" tools. ","")&amp;IF(AND(L27&lt;&gt;"",L27&gt;=14),"Idle "&amp;L27&amp;" days. ","")&amp;IF(AND(M27&lt;&gt;"",N27&lt;&gt;"",M27&gt;N27),M27-N27&amp;" unused seat(s). ",""))</f>
        <v/>
      </c>
      <c r="P27" s="21"/>
      <c r="Q27" s="22"/>
      <c r="R27" s="23" t="str">
        <f aca="false">IF(OR(F27="",P27=""),"",IF(P27="Cancel",F27,IF(AND(P27="Downgrade",Q27&lt;&gt;""),MAX(F27-Q27,0),0)))</f>
        <v/>
      </c>
      <c r="S27" s="23" t="str">
        <f aca="false">IF(R27="","",R27*12)</f>
        <v/>
      </c>
      <c r="T27" s="29"/>
    </row>
    <row r="28" customFormat="false" ht="15" hidden="false" customHeight="false" outlineLevel="0" collapsed="false">
      <c r="A28" s="21"/>
      <c r="B28" s="21"/>
      <c r="C28" s="21"/>
      <c r="D28" s="22"/>
      <c r="E28" s="21"/>
      <c r="F28" s="23" t="str">
        <f aca="false">IF(D28="","",D28/IFERROR(INDEX(Lists!$D$2:$D$4,MATCH(E28,Lists!$C$2:$C$4,0)),1))</f>
        <v/>
      </c>
      <c r="G28" s="23" t="str">
        <f aca="false">IF(F28="","",F28*12)</f>
        <v/>
      </c>
      <c r="H28" s="24"/>
      <c r="I28" s="25" t="str">
        <f aca="false">IF(H28="","",H28-$B$3)</f>
        <v/>
      </c>
      <c r="J28" s="26" t="str">
        <f aca="false">IF(I28="","",IF(I28&lt;0,"Past - update date",IF(I28=0,"Renews TODAY",IF(I28&lt;=1,"1 day",IF(I28&lt;=3,"3 days",IF(I28&lt;=7,"7 days",IF(I28&lt;=30,"30 days","OK")))))))</f>
        <v/>
      </c>
      <c r="K28" s="24"/>
      <c r="L28" s="25" t="str">
        <f aca="false">IF(K28="","",$B$3-K28)</f>
        <v/>
      </c>
      <c r="M28" s="27"/>
      <c r="N28" s="27"/>
      <c r="O28" s="28" t="str">
        <f aca="false">IF(A28="","",IF(AND(B28&lt;&gt;"",COUNTIF($B$5:$B$104,B28)&gt;1),"Overlap: "&amp;COUNTIF($B$5:$B$104,B28)&amp;" "&amp;B28&amp;" tools. ","")&amp;IF(AND(L28&lt;&gt;"",L28&gt;=14),"Idle "&amp;L28&amp;" days. ","")&amp;IF(AND(M28&lt;&gt;"",N28&lt;&gt;"",M28&gt;N28),M28-N28&amp;" unused seat(s). ",""))</f>
        <v/>
      </c>
      <c r="P28" s="21"/>
      <c r="Q28" s="22"/>
      <c r="R28" s="23" t="str">
        <f aca="false">IF(OR(F28="",P28=""),"",IF(P28="Cancel",F28,IF(AND(P28="Downgrade",Q28&lt;&gt;""),MAX(F28-Q28,0),0)))</f>
        <v/>
      </c>
      <c r="S28" s="23" t="str">
        <f aca="false">IF(R28="","",R28*12)</f>
        <v/>
      </c>
      <c r="T28" s="29"/>
    </row>
    <row r="29" customFormat="false" ht="15" hidden="false" customHeight="false" outlineLevel="0" collapsed="false">
      <c r="A29" s="21"/>
      <c r="B29" s="21"/>
      <c r="C29" s="21"/>
      <c r="D29" s="22"/>
      <c r="E29" s="21"/>
      <c r="F29" s="23" t="str">
        <f aca="false">IF(D29="","",D29/IFERROR(INDEX(Lists!$D$2:$D$4,MATCH(E29,Lists!$C$2:$C$4,0)),1))</f>
        <v/>
      </c>
      <c r="G29" s="23" t="str">
        <f aca="false">IF(F29="","",F29*12)</f>
        <v/>
      </c>
      <c r="H29" s="24"/>
      <c r="I29" s="25" t="str">
        <f aca="false">IF(H29="","",H29-$B$3)</f>
        <v/>
      </c>
      <c r="J29" s="26" t="str">
        <f aca="false">IF(I29="","",IF(I29&lt;0,"Past - update date",IF(I29=0,"Renews TODAY",IF(I29&lt;=1,"1 day",IF(I29&lt;=3,"3 days",IF(I29&lt;=7,"7 days",IF(I29&lt;=30,"30 days","OK")))))))</f>
        <v/>
      </c>
      <c r="K29" s="24"/>
      <c r="L29" s="25" t="str">
        <f aca="false">IF(K29="","",$B$3-K29)</f>
        <v/>
      </c>
      <c r="M29" s="27"/>
      <c r="N29" s="27"/>
      <c r="O29" s="28" t="str">
        <f aca="false">IF(A29="","",IF(AND(B29&lt;&gt;"",COUNTIF($B$5:$B$104,B29)&gt;1),"Overlap: "&amp;COUNTIF($B$5:$B$104,B29)&amp;" "&amp;B29&amp;" tools. ","")&amp;IF(AND(L29&lt;&gt;"",L29&gt;=14),"Idle "&amp;L29&amp;" days. ","")&amp;IF(AND(M29&lt;&gt;"",N29&lt;&gt;"",M29&gt;N29),M29-N29&amp;" unused seat(s). ",""))</f>
        <v/>
      </c>
      <c r="P29" s="21"/>
      <c r="Q29" s="22"/>
      <c r="R29" s="23" t="str">
        <f aca="false">IF(OR(F29="",P29=""),"",IF(P29="Cancel",F29,IF(AND(P29="Downgrade",Q29&lt;&gt;""),MAX(F29-Q29,0),0)))</f>
        <v/>
      </c>
      <c r="S29" s="23" t="str">
        <f aca="false">IF(R29="","",R29*12)</f>
        <v/>
      </c>
      <c r="T29" s="29"/>
    </row>
    <row r="30" customFormat="false" ht="15" hidden="false" customHeight="false" outlineLevel="0" collapsed="false">
      <c r="A30" s="21"/>
      <c r="B30" s="21"/>
      <c r="C30" s="21"/>
      <c r="D30" s="22"/>
      <c r="E30" s="21"/>
      <c r="F30" s="23" t="str">
        <f aca="false">IF(D30="","",D30/IFERROR(INDEX(Lists!$D$2:$D$4,MATCH(E30,Lists!$C$2:$C$4,0)),1))</f>
        <v/>
      </c>
      <c r="G30" s="23" t="str">
        <f aca="false">IF(F30="","",F30*12)</f>
        <v/>
      </c>
      <c r="H30" s="24"/>
      <c r="I30" s="25" t="str">
        <f aca="false">IF(H30="","",H30-$B$3)</f>
        <v/>
      </c>
      <c r="J30" s="26" t="str">
        <f aca="false">IF(I30="","",IF(I30&lt;0,"Past - update date",IF(I30=0,"Renews TODAY",IF(I30&lt;=1,"1 day",IF(I30&lt;=3,"3 days",IF(I30&lt;=7,"7 days",IF(I30&lt;=30,"30 days","OK")))))))</f>
        <v/>
      </c>
      <c r="K30" s="24"/>
      <c r="L30" s="25" t="str">
        <f aca="false">IF(K30="","",$B$3-K30)</f>
        <v/>
      </c>
      <c r="M30" s="27"/>
      <c r="N30" s="27"/>
      <c r="O30" s="28" t="str">
        <f aca="false">IF(A30="","",IF(AND(B30&lt;&gt;"",COUNTIF($B$5:$B$104,B30)&gt;1),"Overlap: "&amp;COUNTIF($B$5:$B$104,B30)&amp;" "&amp;B30&amp;" tools. ","")&amp;IF(AND(L30&lt;&gt;"",L30&gt;=14),"Idle "&amp;L30&amp;" days. ","")&amp;IF(AND(M30&lt;&gt;"",N30&lt;&gt;"",M30&gt;N30),M30-N30&amp;" unused seat(s). ",""))</f>
        <v/>
      </c>
      <c r="P30" s="21"/>
      <c r="Q30" s="22"/>
      <c r="R30" s="23" t="str">
        <f aca="false">IF(OR(F30="",P30=""),"",IF(P30="Cancel",F30,IF(AND(P30="Downgrade",Q30&lt;&gt;""),MAX(F30-Q30,0),0)))</f>
        <v/>
      </c>
      <c r="S30" s="23" t="str">
        <f aca="false">IF(R30="","",R30*12)</f>
        <v/>
      </c>
      <c r="T30" s="29"/>
    </row>
    <row r="31" customFormat="false" ht="15" hidden="false" customHeight="false" outlineLevel="0" collapsed="false">
      <c r="A31" s="21"/>
      <c r="B31" s="21"/>
      <c r="C31" s="21"/>
      <c r="D31" s="22"/>
      <c r="E31" s="21"/>
      <c r="F31" s="23" t="str">
        <f aca="false">IF(D31="","",D31/IFERROR(INDEX(Lists!$D$2:$D$4,MATCH(E31,Lists!$C$2:$C$4,0)),1))</f>
        <v/>
      </c>
      <c r="G31" s="23" t="str">
        <f aca="false">IF(F31="","",F31*12)</f>
        <v/>
      </c>
      <c r="H31" s="24"/>
      <c r="I31" s="25" t="str">
        <f aca="false">IF(H31="","",H31-$B$3)</f>
        <v/>
      </c>
      <c r="J31" s="26" t="str">
        <f aca="false">IF(I31="","",IF(I31&lt;0,"Past - update date",IF(I31=0,"Renews TODAY",IF(I31&lt;=1,"1 day",IF(I31&lt;=3,"3 days",IF(I31&lt;=7,"7 days",IF(I31&lt;=30,"30 days","OK")))))))</f>
        <v/>
      </c>
      <c r="K31" s="24"/>
      <c r="L31" s="25" t="str">
        <f aca="false">IF(K31="","",$B$3-K31)</f>
        <v/>
      </c>
      <c r="M31" s="27"/>
      <c r="N31" s="27"/>
      <c r="O31" s="28" t="str">
        <f aca="false">IF(A31="","",IF(AND(B31&lt;&gt;"",COUNTIF($B$5:$B$104,B31)&gt;1),"Overlap: "&amp;COUNTIF($B$5:$B$104,B31)&amp;" "&amp;B31&amp;" tools. ","")&amp;IF(AND(L31&lt;&gt;"",L31&gt;=14),"Idle "&amp;L31&amp;" days. ","")&amp;IF(AND(M31&lt;&gt;"",N31&lt;&gt;"",M31&gt;N31),M31-N31&amp;" unused seat(s). ",""))</f>
        <v/>
      </c>
      <c r="P31" s="21"/>
      <c r="Q31" s="22"/>
      <c r="R31" s="23" t="str">
        <f aca="false">IF(OR(F31="",P31=""),"",IF(P31="Cancel",F31,IF(AND(P31="Downgrade",Q31&lt;&gt;""),MAX(F31-Q31,0),0)))</f>
        <v/>
      </c>
      <c r="S31" s="23" t="str">
        <f aca="false">IF(R31="","",R31*12)</f>
        <v/>
      </c>
      <c r="T31" s="29"/>
    </row>
    <row r="32" customFormat="false" ht="15" hidden="false" customHeight="false" outlineLevel="0" collapsed="false">
      <c r="A32" s="21"/>
      <c r="B32" s="21"/>
      <c r="C32" s="21"/>
      <c r="D32" s="22"/>
      <c r="E32" s="21"/>
      <c r="F32" s="23" t="str">
        <f aca="false">IF(D32="","",D32/IFERROR(INDEX(Lists!$D$2:$D$4,MATCH(E32,Lists!$C$2:$C$4,0)),1))</f>
        <v/>
      </c>
      <c r="G32" s="23" t="str">
        <f aca="false">IF(F32="","",F32*12)</f>
        <v/>
      </c>
      <c r="H32" s="24"/>
      <c r="I32" s="25" t="str">
        <f aca="false">IF(H32="","",H32-$B$3)</f>
        <v/>
      </c>
      <c r="J32" s="26" t="str">
        <f aca="false">IF(I32="","",IF(I32&lt;0,"Past - update date",IF(I32=0,"Renews TODAY",IF(I32&lt;=1,"1 day",IF(I32&lt;=3,"3 days",IF(I32&lt;=7,"7 days",IF(I32&lt;=30,"30 days","OK")))))))</f>
        <v/>
      </c>
      <c r="K32" s="24"/>
      <c r="L32" s="25" t="str">
        <f aca="false">IF(K32="","",$B$3-K32)</f>
        <v/>
      </c>
      <c r="M32" s="27"/>
      <c r="N32" s="27"/>
      <c r="O32" s="28" t="str">
        <f aca="false">IF(A32="","",IF(AND(B32&lt;&gt;"",COUNTIF($B$5:$B$104,B32)&gt;1),"Overlap: "&amp;COUNTIF($B$5:$B$104,B32)&amp;" "&amp;B32&amp;" tools. ","")&amp;IF(AND(L32&lt;&gt;"",L32&gt;=14),"Idle "&amp;L32&amp;" days. ","")&amp;IF(AND(M32&lt;&gt;"",N32&lt;&gt;"",M32&gt;N32),M32-N32&amp;" unused seat(s). ",""))</f>
        <v/>
      </c>
      <c r="P32" s="21"/>
      <c r="Q32" s="22"/>
      <c r="R32" s="23" t="str">
        <f aca="false">IF(OR(F32="",P32=""),"",IF(P32="Cancel",F32,IF(AND(P32="Downgrade",Q32&lt;&gt;""),MAX(F32-Q32,0),0)))</f>
        <v/>
      </c>
      <c r="S32" s="23" t="str">
        <f aca="false">IF(R32="","",R32*12)</f>
        <v/>
      </c>
      <c r="T32" s="29"/>
    </row>
    <row r="33" customFormat="false" ht="15" hidden="false" customHeight="false" outlineLevel="0" collapsed="false">
      <c r="A33" s="21"/>
      <c r="B33" s="21"/>
      <c r="C33" s="21"/>
      <c r="D33" s="22"/>
      <c r="E33" s="21"/>
      <c r="F33" s="23" t="str">
        <f aca="false">IF(D33="","",D33/IFERROR(INDEX(Lists!$D$2:$D$4,MATCH(E33,Lists!$C$2:$C$4,0)),1))</f>
        <v/>
      </c>
      <c r="G33" s="23" t="str">
        <f aca="false">IF(F33="","",F33*12)</f>
        <v/>
      </c>
      <c r="H33" s="24"/>
      <c r="I33" s="25" t="str">
        <f aca="false">IF(H33="","",H33-$B$3)</f>
        <v/>
      </c>
      <c r="J33" s="26" t="str">
        <f aca="false">IF(I33="","",IF(I33&lt;0,"Past - update date",IF(I33=0,"Renews TODAY",IF(I33&lt;=1,"1 day",IF(I33&lt;=3,"3 days",IF(I33&lt;=7,"7 days",IF(I33&lt;=30,"30 days","OK")))))))</f>
        <v/>
      </c>
      <c r="K33" s="24"/>
      <c r="L33" s="25" t="str">
        <f aca="false">IF(K33="","",$B$3-K33)</f>
        <v/>
      </c>
      <c r="M33" s="27"/>
      <c r="N33" s="27"/>
      <c r="O33" s="28" t="str">
        <f aca="false">IF(A33="","",IF(AND(B33&lt;&gt;"",COUNTIF($B$5:$B$104,B33)&gt;1),"Overlap: "&amp;COUNTIF($B$5:$B$104,B33)&amp;" "&amp;B33&amp;" tools. ","")&amp;IF(AND(L33&lt;&gt;"",L33&gt;=14),"Idle "&amp;L33&amp;" days. ","")&amp;IF(AND(M33&lt;&gt;"",N33&lt;&gt;"",M33&gt;N33),M33-N33&amp;" unused seat(s). ",""))</f>
        <v/>
      </c>
      <c r="P33" s="21"/>
      <c r="Q33" s="22"/>
      <c r="R33" s="23" t="str">
        <f aca="false">IF(OR(F33="",P33=""),"",IF(P33="Cancel",F33,IF(AND(P33="Downgrade",Q33&lt;&gt;""),MAX(F33-Q33,0),0)))</f>
        <v/>
      </c>
      <c r="S33" s="23" t="str">
        <f aca="false">IF(R33="","",R33*12)</f>
        <v/>
      </c>
      <c r="T33" s="29"/>
    </row>
    <row r="34" customFormat="false" ht="15" hidden="false" customHeight="false" outlineLevel="0" collapsed="false">
      <c r="A34" s="21"/>
      <c r="B34" s="21"/>
      <c r="C34" s="21"/>
      <c r="D34" s="22"/>
      <c r="E34" s="21"/>
      <c r="F34" s="23" t="str">
        <f aca="false">IF(D34="","",D34/IFERROR(INDEX(Lists!$D$2:$D$4,MATCH(E34,Lists!$C$2:$C$4,0)),1))</f>
        <v/>
      </c>
      <c r="G34" s="23" t="str">
        <f aca="false">IF(F34="","",F34*12)</f>
        <v/>
      </c>
      <c r="H34" s="24"/>
      <c r="I34" s="25" t="str">
        <f aca="false">IF(H34="","",H34-$B$3)</f>
        <v/>
      </c>
      <c r="J34" s="26" t="str">
        <f aca="false">IF(I34="","",IF(I34&lt;0,"Past - update date",IF(I34=0,"Renews TODAY",IF(I34&lt;=1,"1 day",IF(I34&lt;=3,"3 days",IF(I34&lt;=7,"7 days",IF(I34&lt;=30,"30 days","OK")))))))</f>
        <v/>
      </c>
      <c r="K34" s="24"/>
      <c r="L34" s="25" t="str">
        <f aca="false">IF(K34="","",$B$3-K34)</f>
        <v/>
      </c>
      <c r="M34" s="27"/>
      <c r="N34" s="27"/>
      <c r="O34" s="28" t="str">
        <f aca="false">IF(A34="","",IF(AND(B34&lt;&gt;"",COUNTIF($B$5:$B$104,B34)&gt;1),"Overlap: "&amp;COUNTIF($B$5:$B$104,B34)&amp;" "&amp;B34&amp;" tools. ","")&amp;IF(AND(L34&lt;&gt;"",L34&gt;=14),"Idle "&amp;L34&amp;" days. ","")&amp;IF(AND(M34&lt;&gt;"",N34&lt;&gt;"",M34&gt;N34),M34-N34&amp;" unused seat(s). ",""))</f>
        <v/>
      </c>
      <c r="P34" s="21"/>
      <c r="Q34" s="22"/>
      <c r="R34" s="23" t="str">
        <f aca="false">IF(OR(F34="",P34=""),"",IF(P34="Cancel",F34,IF(AND(P34="Downgrade",Q34&lt;&gt;""),MAX(F34-Q34,0),0)))</f>
        <v/>
      </c>
      <c r="S34" s="23" t="str">
        <f aca="false">IF(R34="","",R34*12)</f>
        <v/>
      </c>
      <c r="T34" s="29"/>
    </row>
    <row r="35" customFormat="false" ht="15" hidden="false" customHeight="false" outlineLevel="0" collapsed="false">
      <c r="A35" s="21"/>
      <c r="B35" s="21"/>
      <c r="C35" s="21"/>
      <c r="D35" s="22"/>
      <c r="E35" s="21"/>
      <c r="F35" s="23" t="str">
        <f aca="false">IF(D35="","",D35/IFERROR(INDEX(Lists!$D$2:$D$4,MATCH(E35,Lists!$C$2:$C$4,0)),1))</f>
        <v/>
      </c>
      <c r="G35" s="23" t="str">
        <f aca="false">IF(F35="","",F35*12)</f>
        <v/>
      </c>
      <c r="H35" s="24"/>
      <c r="I35" s="25" t="str">
        <f aca="false">IF(H35="","",H35-$B$3)</f>
        <v/>
      </c>
      <c r="J35" s="26" t="str">
        <f aca="false">IF(I35="","",IF(I35&lt;0,"Past - update date",IF(I35=0,"Renews TODAY",IF(I35&lt;=1,"1 day",IF(I35&lt;=3,"3 days",IF(I35&lt;=7,"7 days",IF(I35&lt;=30,"30 days","OK")))))))</f>
        <v/>
      </c>
      <c r="K35" s="24"/>
      <c r="L35" s="25" t="str">
        <f aca="false">IF(K35="","",$B$3-K35)</f>
        <v/>
      </c>
      <c r="M35" s="27"/>
      <c r="N35" s="27"/>
      <c r="O35" s="28" t="str">
        <f aca="false">IF(A35="","",IF(AND(B35&lt;&gt;"",COUNTIF($B$5:$B$104,B35)&gt;1),"Overlap: "&amp;COUNTIF($B$5:$B$104,B35)&amp;" "&amp;B35&amp;" tools. ","")&amp;IF(AND(L35&lt;&gt;"",L35&gt;=14),"Idle "&amp;L35&amp;" days. ","")&amp;IF(AND(M35&lt;&gt;"",N35&lt;&gt;"",M35&gt;N35),M35-N35&amp;" unused seat(s). ",""))</f>
        <v/>
      </c>
      <c r="P35" s="21"/>
      <c r="Q35" s="22"/>
      <c r="R35" s="23" t="str">
        <f aca="false">IF(OR(F35="",P35=""),"",IF(P35="Cancel",F35,IF(AND(P35="Downgrade",Q35&lt;&gt;""),MAX(F35-Q35,0),0)))</f>
        <v/>
      </c>
      <c r="S35" s="23" t="str">
        <f aca="false">IF(R35="","",R35*12)</f>
        <v/>
      </c>
      <c r="T35" s="29"/>
    </row>
    <row r="36" customFormat="false" ht="15" hidden="false" customHeight="false" outlineLevel="0" collapsed="false">
      <c r="A36" s="21"/>
      <c r="B36" s="21"/>
      <c r="C36" s="21"/>
      <c r="D36" s="22"/>
      <c r="E36" s="21"/>
      <c r="F36" s="23" t="str">
        <f aca="false">IF(D36="","",D36/IFERROR(INDEX(Lists!$D$2:$D$4,MATCH(E36,Lists!$C$2:$C$4,0)),1))</f>
        <v/>
      </c>
      <c r="G36" s="23" t="str">
        <f aca="false">IF(F36="","",F36*12)</f>
        <v/>
      </c>
      <c r="H36" s="24"/>
      <c r="I36" s="25" t="str">
        <f aca="false">IF(H36="","",H36-$B$3)</f>
        <v/>
      </c>
      <c r="J36" s="26" t="str">
        <f aca="false">IF(I36="","",IF(I36&lt;0,"Past - update date",IF(I36=0,"Renews TODAY",IF(I36&lt;=1,"1 day",IF(I36&lt;=3,"3 days",IF(I36&lt;=7,"7 days",IF(I36&lt;=30,"30 days","OK")))))))</f>
        <v/>
      </c>
      <c r="K36" s="24"/>
      <c r="L36" s="25" t="str">
        <f aca="false">IF(K36="","",$B$3-K36)</f>
        <v/>
      </c>
      <c r="M36" s="27"/>
      <c r="N36" s="27"/>
      <c r="O36" s="28" t="str">
        <f aca="false">IF(A36="","",IF(AND(B36&lt;&gt;"",COUNTIF($B$5:$B$104,B36)&gt;1),"Overlap: "&amp;COUNTIF($B$5:$B$104,B36)&amp;" "&amp;B36&amp;" tools. ","")&amp;IF(AND(L36&lt;&gt;"",L36&gt;=14),"Idle "&amp;L36&amp;" days. ","")&amp;IF(AND(M36&lt;&gt;"",N36&lt;&gt;"",M36&gt;N36),M36-N36&amp;" unused seat(s). ",""))</f>
        <v/>
      </c>
      <c r="P36" s="21"/>
      <c r="Q36" s="22"/>
      <c r="R36" s="23" t="str">
        <f aca="false">IF(OR(F36="",P36=""),"",IF(P36="Cancel",F36,IF(AND(P36="Downgrade",Q36&lt;&gt;""),MAX(F36-Q36,0),0)))</f>
        <v/>
      </c>
      <c r="S36" s="23" t="str">
        <f aca="false">IF(R36="","",R36*12)</f>
        <v/>
      </c>
      <c r="T36" s="29"/>
    </row>
    <row r="37" customFormat="false" ht="15" hidden="false" customHeight="false" outlineLevel="0" collapsed="false">
      <c r="A37" s="21"/>
      <c r="B37" s="21"/>
      <c r="C37" s="21"/>
      <c r="D37" s="22"/>
      <c r="E37" s="21"/>
      <c r="F37" s="23" t="str">
        <f aca="false">IF(D37="","",D37/IFERROR(INDEX(Lists!$D$2:$D$4,MATCH(E37,Lists!$C$2:$C$4,0)),1))</f>
        <v/>
      </c>
      <c r="G37" s="23" t="str">
        <f aca="false">IF(F37="","",F37*12)</f>
        <v/>
      </c>
      <c r="H37" s="24"/>
      <c r="I37" s="25" t="str">
        <f aca="false">IF(H37="","",H37-$B$3)</f>
        <v/>
      </c>
      <c r="J37" s="26" t="str">
        <f aca="false">IF(I37="","",IF(I37&lt;0,"Past - update date",IF(I37=0,"Renews TODAY",IF(I37&lt;=1,"1 day",IF(I37&lt;=3,"3 days",IF(I37&lt;=7,"7 days",IF(I37&lt;=30,"30 days","OK")))))))</f>
        <v/>
      </c>
      <c r="K37" s="24"/>
      <c r="L37" s="25" t="str">
        <f aca="false">IF(K37="","",$B$3-K37)</f>
        <v/>
      </c>
      <c r="M37" s="27"/>
      <c r="N37" s="27"/>
      <c r="O37" s="28" t="str">
        <f aca="false">IF(A37="","",IF(AND(B37&lt;&gt;"",COUNTIF($B$5:$B$104,B37)&gt;1),"Overlap: "&amp;COUNTIF($B$5:$B$104,B37)&amp;" "&amp;B37&amp;" tools. ","")&amp;IF(AND(L37&lt;&gt;"",L37&gt;=14),"Idle "&amp;L37&amp;" days. ","")&amp;IF(AND(M37&lt;&gt;"",N37&lt;&gt;"",M37&gt;N37),M37-N37&amp;" unused seat(s). ",""))</f>
        <v/>
      </c>
      <c r="P37" s="21"/>
      <c r="Q37" s="22"/>
      <c r="R37" s="23" t="str">
        <f aca="false">IF(OR(F37="",P37=""),"",IF(P37="Cancel",F37,IF(AND(P37="Downgrade",Q37&lt;&gt;""),MAX(F37-Q37,0),0)))</f>
        <v/>
      </c>
      <c r="S37" s="23" t="str">
        <f aca="false">IF(R37="","",R37*12)</f>
        <v/>
      </c>
      <c r="T37" s="29"/>
    </row>
    <row r="38" customFormat="false" ht="15" hidden="false" customHeight="false" outlineLevel="0" collapsed="false">
      <c r="A38" s="21"/>
      <c r="B38" s="21"/>
      <c r="C38" s="21"/>
      <c r="D38" s="22"/>
      <c r="E38" s="21"/>
      <c r="F38" s="23" t="str">
        <f aca="false">IF(D38="","",D38/IFERROR(INDEX(Lists!$D$2:$D$4,MATCH(E38,Lists!$C$2:$C$4,0)),1))</f>
        <v/>
      </c>
      <c r="G38" s="23" t="str">
        <f aca="false">IF(F38="","",F38*12)</f>
        <v/>
      </c>
      <c r="H38" s="24"/>
      <c r="I38" s="25" t="str">
        <f aca="false">IF(H38="","",H38-$B$3)</f>
        <v/>
      </c>
      <c r="J38" s="26" t="str">
        <f aca="false">IF(I38="","",IF(I38&lt;0,"Past - update date",IF(I38=0,"Renews TODAY",IF(I38&lt;=1,"1 day",IF(I38&lt;=3,"3 days",IF(I38&lt;=7,"7 days",IF(I38&lt;=30,"30 days","OK")))))))</f>
        <v/>
      </c>
      <c r="K38" s="24"/>
      <c r="L38" s="25" t="str">
        <f aca="false">IF(K38="","",$B$3-K38)</f>
        <v/>
      </c>
      <c r="M38" s="27"/>
      <c r="N38" s="27"/>
      <c r="O38" s="28" t="str">
        <f aca="false">IF(A38="","",IF(AND(B38&lt;&gt;"",COUNTIF($B$5:$B$104,B38)&gt;1),"Overlap: "&amp;COUNTIF($B$5:$B$104,B38)&amp;" "&amp;B38&amp;" tools. ","")&amp;IF(AND(L38&lt;&gt;"",L38&gt;=14),"Idle "&amp;L38&amp;" days. ","")&amp;IF(AND(M38&lt;&gt;"",N38&lt;&gt;"",M38&gt;N38),M38-N38&amp;" unused seat(s). ",""))</f>
        <v/>
      </c>
      <c r="P38" s="21"/>
      <c r="Q38" s="22"/>
      <c r="R38" s="23" t="str">
        <f aca="false">IF(OR(F38="",P38=""),"",IF(P38="Cancel",F38,IF(AND(P38="Downgrade",Q38&lt;&gt;""),MAX(F38-Q38,0),0)))</f>
        <v/>
      </c>
      <c r="S38" s="23" t="str">
        <f aca="false">IF(R38="","",R38*12)</f>
        <v/>
      </c>
      <c r="T38" s="29"/>
    </row>
    <row r="39" customFormat="false" ht="15" hidden="false" customHeight="false" outlineLevel="0" collapsed="false">
      <c r="A39" s="21"/>
      <c r="B39" s="21"/>
      <c r="C39" s="21"/>
      <c r="D39" s="22"/>
      <c r="E39" s="21"/>
      <c r="F39" s="23" t="str">
        <f aca="false">IF(D39="","",D39/IFERROR(INDEX(Lists!$D$2:$D$4,MATCH(E39,Lists!$C$2:$C$4,0)),1))</f>
        <v/>
      </c>
      <c r="G39" s="23" t="str">
        <f aca="false">IF(F39="","",F39*12)</f>
        <v/>
      </c>
      <c r="H39" s="24"/>
      <c r="I39" s="25" t="str">
        <f aca="false">IF(H39="","",H39-$B$3)</f>
        <v/>
      </c>
      <c r="J39" s="26" t="str">
        <f aca="false">IF(I39="","",IF(I39&lt;0,"Past - update date",IF(I39=0,"Renews TODAY",IF(I39&lt;=1,"1 day",IF(I39&lt;=3,"3 days",IF(I39&lt;=7,"7 days",IF(I39&lt;=30,"30 days","OK")))))))</f>
        <v/>
      </c>
      <c r="K39" s="24"/>
      <c r="L39" s="25" t="str">
        <f aca="false">IF(K39="","",$B$3-K39)</f>
        <v/>
      </c>
      <c r="M39" s="27"/>
      <c r="N39" s="27"/>
      <c r="O39" s="28" t="str">
        <f aca="false">IF(A39="","",IF(AND(B39&lt;&gt;"",COUNTIF($B$5:$B$104,B39)&gt;1),"Overlap: "&amp;COUNTIF($B$5:$B$104,B39)&amp;" "&amp;B39&amp;" tools. ","")&amp;IF(AND(L39&lt;&gt;"",L39&gt;=14),"Idle "&amp;L39&amp;" days. ","")&amp;IF(AND(M39&lt;&gt;"",N39&lt;&gt;"",M39&gt;N39),M39-N39&amp;" unused seat(s). ",""))</f>
        <v/>
      </c>
      <c r="P39" s="21"/>
      <c r="Q39" s="22"/>
      <c r="R39" s="23" t="str">
        <f aca="false">IF(OR(F39="",P39=""),"",IF(P39="Cancel",F39,IF(AND(P39="Downgrade",Q39&lt;&gt;""),MAX(F39-Q39,0),0)))</f>
        <v/>
      </c>
      <c r="S39" s="23" t="str">
        <f aca="false">IF(R39="","",R39*12)</f>
        <v/>
      </c>
      <c r="T39" s="29"/>
    </row>
    <row r="40" customFormat="false" ht="15" hidden="false" customHeight="false" outlineLevel="0" collapsed="false">
      <c r="A40" s="21"/>
      <c r="B40" s="21"/>
      <c r="C40" s="21"/>
      <c r="D40" s="22"/>
      <c r="E40" s="21"/>
      <c r="F40" s="23" t="str">
        <f aca="false">IF(D40="","",D40/IFERROR(INDEX(Lists!$D$2:$D$4,MATCH(E40,Lists!$C$2:$C$4,0)),1))</f>
        <v/>
      </c>
      <c r="G40" s="23" t="str">
        <f aca="false">IF(F40="","",F40*12)</f>
        <v/>
      </c>
      <c r="H40" s="24"/>
      <c r="I40" s="25" t="str">
        <f aca="false">IF(H40="","",H40-$B$3)</f>
        <v/>
      </c>
      <c r="J40" s="26" t="str">
        <f aca="false">IF(I40="","",IF(I40&lt;0,"Past - update date",IF(I40=0,"Renews TODAY",IF(I40&lt;=1,"1 day",IF(I40&lt;=3,"3 days",IF(I40&lt;=7,"7 days",IF(I40&lt;=30,"30 days","OK")))))))</f>
        <v/>
      </c>
      <c r="K40" s="24"/>
      <c r="L40" s="25" t="str">
        <f aca="false">IF(K40="","",$B$3-K40)</f>
        <v/>
      </c>
      <c r="M40" s="27"/>
      <c r="N40" s="27"/>
      <c r="O40" s="28" t="str">
        <f aca="false">IF(A40="","",IF(AND(B40&lt;&gt;"",COUNTIF($B$5:$B$104,B40)&gt;1),"Overlap: "&amp;COUNTIF($B$5:$B$104,B40)&amp;" "&amp;B40&amp;" tools. ","")&amp;IF(AND(L40&lt;&gt;"",L40&gt;=14),"Idle "&amp;L40&amp;" days. ","")&amp;IF(AND(M40&lt;&gt;"",N40&lt;&gt;"",M40&gt;N40),M40-N40&amp;" unused seat(s). ",""))</f>
        <v/>
      </c>
      <c r="P40" s="21"/>
      <c r="Q40" s="22"/>
      <c r="R40" s="23" t="str">
        <f aca="false">IF(OR(F40="",P40=""),"",IF(P40="Cancel",F40,IF(AND(P40="Downgrade",Q40&lt;&gt;""),MAX(F40-Q40,0),0)))</f>
        <v/>
      </c>
      <c r="S40" s="23" t="str">
        <f aca="false">IF(R40="","",R40*12)</f>
        <v/>
      </c>
      <c r="T40" s="29"/>
    </row>
    <row r="41" customFormat="false" ht="15" hidden="false" customHeight="false" outlineLevel="0" collapsed="false">
      <c r="A41" s="21"/>
      <c r="B41" s="21"/>
      <c r="C41" s="21"/>
      <c r="D41" s="22"/>
      <c r="E41" s="21"/>
      <c r="F41" s="23" t="str">
        <f aca="false">IF(D41="","",D41/IFERROR(INDEX(Lists!$D$2:$D$4,MATCH(E41,Lists!$C$2:$C$4,0)),1))</f>
        <v/>
      </c>
      <c r="G41" s="23" t="str">
        <f aca="false">IF(F41="","",F41*12)</f>
        <v/>
      </c>
      <c r="H41" s="24"/>
      <c r="I41" s="25" t="str">
        <f aca="false">IF(H41="","",H41-$B$3)</f>
        <v/>
      </c>
      <c r="J41" s="26" t="str">
        <f aca="false">IF(I41="","",IF(I41&lt;0,"Past - update date",IF(I41=0,"Renews TODAY",IF(I41&lt;=1,"1 day",IF(I41&lt;=3,"3 days",IF(I41&lt;=7,"7 days",IF(I41&lt;=30,"30 days","OK")))))))</f>
        <v/>
      </c>
      <c r="K41" s="24"/>
      <c r="L41" s="25" t="str">
        <f aca="false">IF(K41="","",$B$3-K41)</f>
        <v/>
      </c>
      <c r="M41" s="27"/>
      <c r="N41" s="27"/>
      <c r="O41" s="28" t="str">
        <f aca="false">IF(A41="","",IF(AND(B41&lt;&gt;"",COUNTIF($B$5:$B$104,B41)&gt;1),"Overlap: "&amp;COUNTIF($B$5:$B$104,B41)&amp;" "&amp;B41&amp;" tools. ","")&amp;IF(AND(L41&lt;&gt;"",L41&gt;=14),"Idle "&amp;L41&amp;" days. ","")&amp;IF(AND(M41&lt;&gt;"",N41&lt;&gt;"",M41&gt;N41),M41-N41&amp;" unused seat(s). ",""))</f>
        <v/>
      </c>
      <c r="P41" s="21"/>
      <c r="Q41" s="22"/>
      <c r="R41" s="23" t="str">
        <f aca="false">IF(OR(F41="",P41=""),"",IF(P41="Cancel",F41,IF(AND(P41="Downgrade",Q41&lt;&gt;""),MAX(F41-Q41,0),0)))</f>
        <v/>
      </c>
      <c r="S41" s="23" t="str">
        <f aca="false">IF(R41="","",R41*12)</f>
        <v/>
      </c>
      <c r="T41" s="29"/>
    </row>
    <row r="42" customFormat="false" ht="15" hidden="false" customHeight="false" outlineLevel="0" collapsed="false">
      <c r="A42" s="21"/>
      <c r="B42" s="21"/>
      <c r="C42" s="21"/>
      <c r="D42" s="22"/>
      <c r="E42" s="21"/>
      <c r="F42" s="23" t="str">
        <f aca="false">IF(D42="","",D42/IFERROR(INDEX(Lists!$D$2:$D$4,MATCH(E42,Lists!$C$2:$C$4,0)),1))</f>
        <v/>
      </c>
      <c r="G42" s="23" t="str">
        <f aca="false">IF(F42="","",F42*12)</f>
        <v/>
      </c>
      <c r="H42" s="24"/>
      <c r="I42" s="25" t="str">
        <f aca="false">IF(H42="","",H42-$B$3)</f>
        <v/>
      </c>
      <c r="J42" s="26" t="str">
        <f aca="false">IF(I42="","",IF(I42&lt;0,"Past - update date",IF(I42=0,"Renews TODAY",IF(I42&lt;=1,"1 day",IF(I42&lt;=3,"3 days",IF(I42&lt;=7,"7 days",IF(I42&lt;=30,"30 days","OK")))))))</f>
        <v/>
      </c>
      <c r="K42" s="24"/>
      <c r="L42" s="25" t="str">
        <f aca="false">IF(K42="","",$B$3-K42)</f>
        <v/>
      </c>
      <c r="M42" s="27"/>
      <c r="N42" s="27"/>
      <c r="O42" s="28" t="str">
        <f aca="false">IF(A42="","",IF(AND(B42&lt;&gt;"",COUNTIF($B$5:$B$104,B42)&gt;1),"Overlap: "&amp;COUNTIF($B$5:$B$104,B42)&amp;" "&amp;B42&amp;" tools. ","")&amp;IF(AND(L42&lt;&gt;"",L42&gt;=14),"Idle "&amp;L42&amp;" days. ","")&amp;IF(AND(M42&lt;&gt;"",N42&lt;&gt;"",M42&gt;N42),M42-N42&amp;" unused seat(s). ",""))</f>
        <v/>
      </c>
      <c r="P42" s="21"/>
      <c r="Q42" s="22"/>
      <c r="R42" s="23" t="str">
        <f aca="false">IF(OR(F42="",P42=""),"",IF(P42="Cancel",F42,IF(AND(P42="Downgrade",Q42&lt;&gt;""),MAX(F42-Q42,0),0)))</f>
        <v/>
      </c>
      <c r="S42" s="23" t="str">
        <f aca="false">IF(R42="","",R42*12)</f>
        <v/>
      </c>
      <c r="T42" s="29"/>
    </row>
    <row r="43" customFormat="false" ht="15" hidden="false" customHeight="false" outlineLevel="0" collapsed="false">
      <c r="A43" s="21"/>
      <c r="B43" s="21"/>
      <c r="C43" s="21"/>
      <c r="D43" s="22"/>
      <c r="E43" s="21"/>
      <c r="F43" s="23" t="str">
        <f aca="false">IF(D43="","",D43/IFERROR(INDEX(Lists!$D$2:$D$4,MATCH(E43,Lists!$C$2:$C$4,0)),1))</f>
        <v/>
      </c>
      <c r="G43" s="23" t="str">
        <f aca="false">IF(F43="","",F43*12)</f>
        <v/>
      </c>
      <c r="H43" s="24"/>
      <c r="I43" s="25" t="str">
        <f aca="false">IF(H43="","",H43-$B$3)</f>
        <v/>
      </c>
      <c r="J43" s="26" t="str">
        <f aca="false">IF(I43="","",IF(I43&lt;0,"Past - update date",IF(I43=0,"Renews TODAY",IF(I43&lt;=1,"1 day",IF(I43&lt;=3,"3 days",IF(I43&lt;=7,"7 days",IF(I43&lt;=30,"30 days","OK")))))))</f>
        <v/>
      </c>
      <c r="K43" s="24"/>
      <c r="L43" s="25" t="str">
        <f aca="false">IF(K43="","",$B$3-K43)</f>
        <v/>
      </c>
      <c r="M43" s="27"/>
      <c r="N43" s="27"/>
      <c r="O43" s="28" t="str">
        <f aca="false">IF(A43="","",IF(AND(B43&lt;&gt;"",COUNTIF($B$5:$B$104,B43)&gt;1),"Overlap: "&amp;COUNTIF($B$5:$B$104,B43)&amp;" "&amp;B43&amp;" tools. ","")&amp;IF(AND(L43&lt;&gt;"",L43&gt;=14),"Idle "&amp;L43&amp;" days. ","")&amp;IF(AND(M43&lt;&gt;"",N43&lt;&gt;"",M43&gt;N43),M43-N43&amp;" unused seat(s). ",""))</f>
        <v/>
      </c>
      <c r="P43" s="21"/>
      <c r="Q43" s="22"/>
      <c r="R43" s="23" t="str">
        <f aca="false">IF(OR(F43="",P43=""),"",IF(P43="Cancel",F43,IF(AND(P43="Downgrade",Q43&lt;&gt;""),MAX(F43-Q43,0),0)))</f>
        <v/>
      </c>
      <c r="S43" s="23" t="str">
        <f aca="false">IF(R43="","",R43*12)</f>
        <v/>
      </c>
      <c r="T43" s="29"/>
    </row>
    <row r="44" customFormat="false" ht="15" hidden="false" customHeight="false" outlineLevel="0" collapsed="false">
      <c r="A44" s="21"/>
      <c r="B44" s="21"/>
      <c r="C44" s="21"/>
      <c r="D44" s="22"/>
      <c r="E44" s="21"/>
      <c r="F44" s="23" t="str">
        <f aca="false">IF(D44="","",D44/IFERROR(INDEX(Lists!$D$2:$D$4,MATCH(E44,Lists!$C$2:$C$4,0)),1))</f>
        <v/>
      </c>
      <c r="G44" s="23" t="str">
        <f aca="false">IF(F44="","",F44*12)</f>
        <v/>
      </c>
      <c r="H44" s="24"/>
      <c r="I44" s="25" t="str">
        <f aca="false">IF(H44="","",H44-$B$3)</f>
        <v/>
      </c>
      <c r="J44" s="26" t="str">
        <f aca="false">IF(I44="","",IF(I44&lt;0,"Past - update date",IF(I44=0,"Renews TODAY",IF(I44&lt;=1,"1 day",IF(I44&lt;=3,"3 days",IF(I44&lt;=7,"7 days",IF(I44&lt;=30,"30 days","OK")))))))</f>
        <v/>
      </c>
      <c r="K44" s="24"/>
      <c r="L44" s="25" t="str">
        <f aca="false">IF(K44="","",$B$3-K44)</f>
        <v/>
      </c>
      <c r="M44" s="27"/>
      <c r="N44" s="27"/>
      <c r="O44" s="28" t="str">
        <f aca="false">IF(A44="","",IF(AND(B44&lt;&gt;"",COUNTIF($B$5:$B$104,B44)&gt;1),"Overlap: "&amp;COUNTIF($B$5:$B$104,B44)&amp;" "&amp;B44&amp;" tools. ","")&amp;IF(AND(L44&lt;&gt;"",L44&gt;=14),"Idle "&amp;L44&amp;" days. ","")&amp;IF(AND(M44&lt;&gt;"",N44&lt;&gt;"",M44&gt;N44),M44-N44&amp;" unused seat(s). ",""))</f>
        <v/>
      </c>
      <c r="P44" s="21"/>
      <c r="Q44" s="22"/>
      <c r="R44" s="23" t="str">
        <f aca="false">IF(OR(F44="",P44=""),"",IF(P44="Cancel",F44,IF(AND(P44="Downgrade",Q44&lt;&gt;""),MAX(F44-Q44,0),0)))</f>
        <v/>
      </c>
      <c r="S44" s="23" t="str">
        <f aca="false">IF(R44="","",R44*12)</f>
        <v/>
      </c>
      <c r="T44" s="29"/>
    </row>
    <row r="45" customFormat="false" ht="15" hidden="false" customHeight="false" outlineLevel="0" collapsed="false">
      <c r="A45" s="21"/>
      <c r="B45" s="21"/>
      <c r="C45" s="21"/>
      <c r="D45" s="22"/>
      <c r="E45" s="21"/>
      <c r="F45" s="23" t="str">
        <f aca="false">IF(D45="","",D45/IFERROR(INDEX(Lists!$D$2:$D$4,MATCH(E45,Lists!$C$2:$C$4,0)),1))</f>
        <v/>
      </c>
      <c r="G45" s="23" t="str">
        <f aca="false">IF(F45="","",F45*12)</f>
        <v/>
      </c>
      <c r="H45" s="24"/>
      <c r="I45" s="25" t="str">
        <f aca="false">IF(H45="","",H45-$B$3)</f>
        <v/>
      </c>
      <c r="J45" s="26" t="str">
        <f aca="false">IF(I45="","",IF(I45&lt;0,"Past - update date",IF(I45=0,"Renews TODAY",IF(I45&lt;=1,"1 day",IF(I45&lt;=3,"3 days",IF(I45&lt;=7,"7 days",IF(I45&lt;=30,"30 days","OK")))))))</f>
        <v/>
      </c>
      <c r="K45" s="24"/>
      <c r="L45" s="25" t="str">
        <f aca="false">IF(K45="","",$B$3-K45)</f>
        <v/>
      </c>
      <c r="M45" s="27"/>
      <c r="N45" s="27"/>
      <c r="O45" s="28" t="str">
        <f aca="false">IF(A45="","",IF(AND(B45&lt;&gt;"",COUNTIF($B$5:$B$104,B45)&gt;1),"Overlap: "&amp;COUNTIF($B$5:$B$104,B45)&amp;" "&amp;B45&amp;" tools. ","")&amp;IF(AND(L45&lt;&gt;"",L45&gt;=14),"Idle "&amp;L45&amp;" days. ","")&amp;IF(AND(M45&lt;&gt;"",N45&lt;&gt;"",M45&gt;N45),M45-N45&amp;" unused seat(s). ",""))</f>
        <v/>
      </c>
      <c r="P45" s="21"/>
      <c r="Q45" s="22"/>
      <c r="R45" s="23" t="str">
        <f aca="false">IF(OR(F45="",P45=""),"",IF(P45="Cancel",F45,IF(AND(P45="Downgrade",Q45&lt;&gt;""),MAX(F45-Q45,0),0)))</f>
        <v/>
      </c>
      <c r="S45" s="23" t="str">
        <f aca="false">IF(R45="","",R45*12)</f>
        <v/>
      </c>
      <c r="T45" s="29"/>
    </row>
    <row r="46" customFormat="false" ht="15" hidden="false" customHeight="false" outlineLevel="0" collapsed="false">
      <c r="A46" s="21"/>
      <c r="B46" s="21"/>
      <c r="C46" s="21"/>
      <c r="D46" s="22"/>
      <c r="E46" s="21"/>
      <c r="F46" s="23" t="str">
        <f aca="false">IF(D46="","",D46/IFERROR(INDEX(Lists!$D$2:$D$4,MATCH(E46,Lists!$C$2:$C$4,0)),1))</f>
        <v/>
      </c>
      <c r="G46" s="23" t="str">
        <f aca="false">IF(F46="","",F46*12)</f>
        <v/>
      </c>
      <c r="H46" s="24"/>
      <c r="I46" s="25" t="str">
        <f aca="false">IF(H46="","",H46-$B$3)</f>
        <v/>
      </c>
      <c r="J46" s="26" t="str">
        <f aca="false">IF(I46="","",IF(I46&lt;0,"Past - update date",IF(I46=0,"Renews TODAY",IF(I46&lt;=1,"1 day",IF(I46&lt;=3,"3 days",IF(I46&lt;=7,"7 days",IF(I46&lt;=30,"30 days","OK")))))))</f>
        <v/>
      </c>
      <c r="K46" s="24"/>
      <c r="L46" s="25" t="str">
        <f aca="false">IF(K46="","",$B$3-K46)</f>
        <v/>
      </c>
      <c r="M46" s="27"/>
      <c r="N46" s="27"/>
      <c r="O46" s="28" t="str">
        <f aca="false">IF(A46="","",IF(AND(B46&lt;&gt;"",COUNTIF($B$5:$B$104,B46)&gt;1),"Overlap: "&amp;COUNTIF($B$5:$B$104,B46)&amp;" "&amp;B46&amp;" tools. ","")&amp;IF(AND(L46&lt;&gt;"",L46&gt;=14),"Idle "&amp;L46&amp;" days. ","")&amp;IF(AND(M46&lt;&gt;"",N46&lt;&gt;"",M46&gt;N46),M46-N46&amp;" unused seat(s). ",""))</f>
        <v/>
      </c>
      <c r="P46" s="21"/>
      <c r="Q46" s="22"/>
      <c r="R46" s="23" t="str">
        <f aca="false">IF(OR(F46="",P46=""),"",IF(P46="Cancel",F46,IF(AND(P46="Downgrade",Q46&lt;&gt;""),MAX(F46-Q46,0),0)))</f>
        <v/>
      </c>
      <c r="S46" s="23" t="str">
        <f aca="false">IF(R46="","",R46*12)</f>
        <v/>
      </c>
      <c r="T46" s="29"/>
    </row>
    <row r="47" customFormat="false" ht="15" hidden="false" customHeight="false" outlineLevel="0" collapsed="false">
      <c r="A47" s="21"/>
      <c r="B47" s="21"/>
      <c r="C47" s="21"/>
      <c r="D47" s="22"/>
      <c r="E47" s="21"/>
      <c r="F47" s="23" t="str">
        <f aca="false">IF(D47="","",D47/IFERROR(INDEX(Lists!$D$2:$D$4,MATCH(E47,Lists!$C$2:$C$4,0)),1))</f>
        <v/>
      </c>
      <c r="G47" s="23" t="str">
        <f aca="false">IF(F47="","",F47*12)</f>
        <v/>
      </c>
      <c r="H47" s="24"/>
      <c r="I47" s="25" t="str">
        <f aca="false">IF(H47="","",H47-$B$3)</f>
        <v/>
      </c>
      <c r="J47" s="26" t="str">
        <f aca="false">IF(I47="","",IF(I47&lt;0,"Past - update date",IF(I47=0,"Renews TODAY",IF(I47&lt;=1,"1 day",IF(I47&lt;=3,"3 days",IF(I47&lt;=7,"7 days",IF(I47&lt;=30,"30 days","OK")))))))</f>
        <v/>
      </c>
      <c r="K47" s="24"/>
      <c r="L47" s="25" t="str">
        <f aca="false">IF(K47="","",$B$3-K47)</f>
        <v/>
      </c>
      <c r="M47" s="27"/>
      <c r="N47" s="27"/>
      <c r="O47" s="28" t="str">
        <f aca="false">IF(A47="","",IF(AND(B47&lt;&gt;"",COUNTIF($B$5:$B$104,B47)&gt;1),"Overlap: "&amp;COUNTIF($B$5:$B$104,B47)&amp;" "&amp;B47&amp;" tools. ","")&amp;IF(AND(L47&lt;&gt;"",L47&gt;=14),"Idle "&amp;L47&amp;" days. ","")&amp;IF(AND(M47&lt;&gt;"",N47&lt;&gt;"",M47&gt;N47),M47-N47&amp;" unused seat(s). ",""))</f>
        <v/>
      </c>
      <c r="P47" s="21"/>
      <c r="Q47" s="22"/>
      <c r="R47" s="23" t="str">
        <f aca="false">IF(OR(F47="",P47=""),"",IF(P47="Cancel",F47,IF(AND(P47="Downgrade",Q47&lt;&gt;""),MAX(F47-Q47,0),0)))</f>
        <v/>
      </c>
      <c r="S47" s="23" t="str">
        <f aca="false">IF(R47="","",R47*12)</f>
        <v/>
      </c>
      <c r="T47" s="29"/>
    </row>
    <row r="48" customFormat="false" ht="15" hidden="false" customHeight="false" outlineLevel="0" collapsed="false">
      <c r="A48" s="21"/>
      <c r="B48" s="21"/>
      <c r="C48" s="21"/>
      <c r="D48" s="22"/>
      <c r="E48" s="21"/>
      <c r="F48" s="23" t="str">
        <f aca="false">IF(D48="","",D48/IFERROR(INDEX(Lists!$D$2:$D$4,MATCH(E48,Lists!$C$2:$C$4,0)),1))</f>
        <v/>
      </c>
      <c r="G48" s="23" t="str">
        <f aca="false">IF(F48="","",F48*12)</f>
        <v/>
      </c>
      <c r="H48" s="24"/>
      <c r="I48" s="25" t="str">
        <f aca="false">IF(H48="","",H48-$B$3)</f>
        <v/>
      </c>
      <c r="J48" s="26" t="str">
        <f aca="false">IF(I48="","",IF(I48&lt;0,"Past - update date",IF(I48=0,"Renews TODAY",IF(I48&lt;=1,"1 day",IF(I48&lt;=3,"3 days",IF(I48&lt;=7,"7 days",IF(I48&lt;=30,"30 days","OK")))))))</f>
        <v/>
      </c>
      <c r="K48" s="24"/>
      <c r="L48" s="25" t="str">
        <f aca="false">IF(K48="","",$B$3-K48)</f>
        <v/>
      </c>
      <c r="M48" s="27"/>
      <c r="N48" s="27"/>
      <c r="O48" s="28" t="str">
        <f aca="false">IF(A48="","",IF(AND(B48&lt;&gt;"",COUNTIF($B$5:$B$104,B48)&gt;1),"Overlap: "&amp;COUNTIF($B$5:$B$104,B48)&amp;" "&amp;B48&amp;" tools. ","")&amp;IF(AND(L48&lt;&gt;"",L48&gt;=14),"Idle "&amp;L48&amp;" days. ","")&amp;IF(AND(M48&lt;&gt;"",N48&lt;&gt;"",M48&gt;N48),M48-N48&amp;" unused seat(s). ",""))</f>
        <v/>
      </c>
      <c r="P48" s="21"/>
      <c r="Q48" s="22"/>
      <c r="R48" s="23" t="str">
        <f aca="false">IF(OR(F48="",P48=""),"",IF(P48="Cancel",F48,IF(AND(P48="Downgrade",Q48&lt;&gt;""),MAX(F48-Q48,0),0)))</f>
        <v/>
      </c>
      <c r="S48" s="23" t="str">
        <f aca="false">IF(R48="","",R48*12)</f>
        <v/>
      </c>
      <c r="T48" s="29"/>
    </row>
    <row r="49" customFormat="false" ht="15" hidden="false" customHeight="false" outlineLevel="0" collapsed="false">
      <c r="A49" s="21"/>
      <c r="B49" s="21"/>
      <c r="C49" s="21"/>
      <c r="D49" s="22"/>
      <c r="E49" s="21"/>
      <c r="F49" s="23" t="str">
        <f aca="false">IF(D49="","",D49/IFERROR(INDEX(Lists!$D$2:$D$4,MATCH(E49,Lists!$C$2:$C$4,0)),1))</f>
        <v/>
      </c>
      <c r="G49" s="23" t="str">
        <f aca="false">IF(F49="","",F49*12)</f>
        <v/>
      </c>
      <c r="H49" s="24"/>
      <c r="I49" s="25" t="str">
        <f aca="false">IF(H49="","",H49-$B$3)</f>
        <v/>
      </c>
      <c r="J49" s="26" t="str">
        <f aca="false">IF(I49="","",IF(I49&lt;0,"Past - update date",IF(I49=0,"Renews TODAY",IF(I49&lt;=1,"1 day",IF(I49&lt;=3,"3 days",IF(I49&lt;=7,"7 days",IF(I49&lt;=30,"30 days","OK")))))))</f>
        <v/>
      </c>
      <c r="K49" s="24"/>
      <c r="L49" s="25" t="str">
        <f aca="false">IF(K49="","",$B$3-K49)</f>
        <v/>
      </c>
      <c r="M49" s="27"/>
      <c r="N49" s="27"/>
      <c r="O49" s="28" t="str">
        <f aca="false">IF(A49="","",IF(AND(B49&lt;&gt;"",COUNTIF($B$5:$B$104,B49)&gt;1),"Overlap: "&amp;COUNTIF($B$5:$B$104,B49)&amp;" "&amp;B49&amp;" tools. ","")&amp;IF(AND(L49&lt;&gt;"",L49&gt;=14),"Idle "&amp;L49&amp;" days. ","")&amp;IF(AND(M49&lt;&gt;"",N49&lt;&gt;"",M49&gt;N49),M49-N49&amp;" unused seat(s). ",""))</f>
        <v/>
      </c>
      <c r="P49" s="21"/>
      <c r="Q49" s="22"/>
      <c r="R49" s="23" t="str">
        <f aca="false">IF(OR(F49="",P49=""),"",IF(P49="Cancel",F49,IF(AND(P49="Downgrade",Q49&lt;&gt;""),MAX(F49-Q49,0),0)))</f>
        <v/>
      </c>
      <c r="S49" s="23" t="str">
        <f aca="false">IF(R49="","",R49*12)</f>
        <v/>
      </c>
      <c r="T49" s="29"/>
    </row>
    <row r="50" customFormat="false" ht="15" hidden="false" customHeight="false" outlineLevel="0" collapsed="false">
      <c r="A50" s="21"/>
      <c r="B50" s="21"/>
      <c r="C50" s="21"/>
      <c r="D50" s="22"/>
      <c r="E50" s="21"/>
      <c r="F50" s="23" t="str">
        <f aca="false">IF(D50="","",D50/IFERROR(INDEX(Lists!$D$2:$D$4,MATCH(E50,Lists!$C$2:$C$4,0)),1))</f>
        <v/>
      </c>
      <c r="G50" s="23" t="str">
        <f aca="false">IF(F50="","",F50*12)</f>
        <v/>
      </c>
      <c r="H50" s="24"/>
      <c r="I50" s="25" t="str">
        <f aca="false">IF(H50="","",H50-$B$3)</f>
        <v/>
      </c>
      <c r="J50" s="26" t="str">
        <f aca="false">IF(I50="","",IF(I50&lt;0,"Past - update date",IF(I50=0,"Renews TODAY",IF(I50&lt;=1,"1 day",IF(I50&lt;=3,"3 days",IF(I50&lt;=7,"7 days",IF(I50&lt;=30,"30 days","OK")))))))</f>
        <v/>
      </c>
      <c r="K50" s="24"/>
      <c r="L50" s="25" t="str">
        <f aca="false">IF(K50="","",$B$3-K50)</f>
        <v/>
      </c>
      <c r="M50" s="27"/>
      <c r="N50" s="27"/>
      <c r="O50" s="28" t="str">
        <f aca="false">IF(A50="","",IF(AND(B50&lt;&gt;"",COUNTIF($B$5:$B$104,B50)&gt;1),"Overlap: "&amp;COUNTIF($B$5:$B$104,B50)&amp;" "&amp;B50&amp;" tools. ","")&amp;IF(AND(L50&lt;&gt;"",L50&gt;=14),"Idle "&amp;L50&amp;" days. ","")&amp;IF(AND(M50&lt;&gt;"",N50&lt;&gt;"",M50&gt;N50),M50-N50&amp;" unused seat(s). ",""))</f>
        <v/>
      </c>
      <c r="P50" s="21"/>
      <c r="Q50" s="22"/>
      <c r="R50" s="23" t="str">
        <f aca="false">IF(OR(F50="",P50=""),"",IF(P50="Cancel",F50,IF(AND(P50="Downgrade",Q50&lt;&gt;""),MAX(F50-Q50,0),0)))</f>
        <v/>
      </c>
      <c r="S50" s="23" t="str">
        <f aca="false">IF(R50="","",R50*12)</f>
        <v/>
      </c>
      <c r="T50" s="29"/>
    </row>
    <row r="51" customFormat="false" ht="15" hidden="false" customHeight="false" outlineLevel="0" collapsed="false">
      <c r="A51" s="21"/>
      <c r="B51" s="21"/>
      <c r="C51" s="21"/>
      <c r="D51" s="22"/>
      <c r="E51" s="21"/>
      <c r="F51" s="23" t="str">
        <f aca="false">IF(D51="","",D51/IFERROR(INDEX(Lists!$D$2:$D$4,MATCH(E51,Lists!$C$2:$C$4,0)),1))</f>
        <v/>
      </c>
      <c r="G51" s="23" t="str">
        <f aca="false">IF(F51="","",F51*12)</f>
        <v/>
      </c>
      <c r="H51" s="24"/>
      <c r="I51" s="25" t="str">
        <f aca="false">IF(H51="","",H51-$B$3)</f>
        <v/>
      </c>
      <c r="J51" s="26" t="str">
        <f aca="false">IF(I51="","",IF(I51&lt;0,"Past - update date",IF(I51=0,"Renews TODAY",IF(I51&lt;=1,"1 day",IF(I51&lt;=3,"3 days",IF(I51&lt;=7,"7 days",IF(I51&lt;=30,"30 days","OK")))))))</f>
        <v/>
      </c>
      <c r="K51" s="24"/>
      <c r="L51" s="25" t="str">
        <f aca="false">IF(K51="","",$B$3-K51)</f>
        <v/>
      </c>
      <c r="M51" s="27"/>
      <c r="N51" s="27"/>
      <c r="O51" s="28" t="str">
        <f aca="false">IF(A51="","",IF(AND(B51&lt;&gt;"",COUNTIF($B$5:$B$104,B51)&gt;1),"Overlap: "&amp;COUNTIF($B$5:$B$104,B51)&amp;" "&amp;B51&amp;" tools. ","")&amp;IF(AND(L51&lt;&gt;"",L51&gt;=14),"Idle "&amp;L51&amp;" days. ","")&amp;IF(AND(M51&lt;&gt;"",N51&lt;&gt;"",M51&gt;N51),M51-N51&amp;" unused seat(s). ",""))</f>
        <v/>
      </c>
      <c r="P51" s="21"/>
      <c r="Q51" s="22"/>
      <c r="R51" s="23" t="str">
        <f aca="false">IF(OR(F51="",P51=""),"",IF(P51="Cancel",F51,IF(AND(P51="Downgrade",Q51&lt;&gt;""),MAX(F51-Q51,0),0)))</f>
        <v/>
      </c>
      <c r="S51" s="23" t="str">
        <f aca="false">IF(R51="","",R51*12)</f>
        <v/>
      </c>
      <c r="T51" s="29"/>
    </row>
    <row r="52" customFormat="false" ht="15" hidden="false" customHeight="false" outlineLevel="0" collapsed="false">
      <c r="A52" s="21"/>
      <c r="B52" s="21"/>
      <c r="C52" s="21"/>
      <c r="D52" s="22"/>
      <c r="E52" s="21"/>
      <c r="F52" s="23" t="str">
        <f aca="false">IF(D52="","",D52/IFERROR(INDEX(Lists!$D$2:$D$4,MATCH(E52,Lists!$C$2:$C$4,0)),1))</f>
        <v/>
      </c>
      <c r="G52" s="23" t="str">
        <f aca="false">IF(F52="","",F52*12)</f>
        <v/>
      </c>
      <c r="H52" s="24"/>
      <c r="I52" s="25" t="str">
        <f aca="false">IF(H52="","",H52-$B$3)</f>
        <v/>
      </c>
      <c r="J52" s="26" t="str">
        <f aca="false">IF(I52="","",IF(I52&lt;0,"Past - update date",IF(I52=0,"Renews TODAY",IF(I52&lt;=1,"1 day",IF(I52&lt;=3,"3 days",IF(I52&lt;=7,"7 days",IF(I52&lt;=30,"30 days","OK")))))))</f>
        <v/>
      </c>
      <c r="K52" s="24"/>
      <c r="L52" s="25" t="str">
        <f aca="false">IF(K52="","",$B$3-K52)</f>
        <v/>
      </c>
      <c r="M52" s="27"/>
      <c r="N52" s="27"/>
      <c r="O52" s="28" t="str">
        <f aca="false">IF(A52="","",IF(AND(B52&lt;&gt;"",COUNTIF($B$5:$B$104,B52)&gt;1),"Overlap: "&amp;COUNTIF($B$5:$B$104,B52)&amp;" "&amp;B52&amp;" tools. ","")&amp;IF(AND(L52&lt;&gt;"",L52&gt;=14),"Idle "&amp;L52&amp;" days. ","")&amp;IF(AND(M52&lt;&gt;"",N52&lt;&gt;"",M52&gt;N52),M52-N52&amp;" unused seat(s). ",""))</f>
        <v/>
      </c>
      <c r="P52" s="21"/>
      <c r="Q52" s="22"/>
      <c r="R52" s="23" t="str">
        <f aca="false">IF(OR(F52="",P52=""),"",IF(P52="Cancel",F52,IF(AND(P52="Downgrade",Q52&lt;&gt;""),MAX(F52-Q52,0),0)))</f>
        <v/>
      </c>
      <c r="S52" s="23" t="str">
        <f aca="false">IF(R52="","",R52*12)</f>
        <v/>
      </c>
      <c r="T52" s="29"/>
    </row>
    <row r="53" customFormat="false" ht="15" hidden="false" customHeight="false" outlineLevel="0" collapsed="false">
      <c r="A53" s="21"/>
      <c r="B53" s="21"/>
      <c r="C53" s="21"/>
      <c r="D53" s="22"/>
      <c r="E53" s="21"/>
      <c r="F53" s="23" t="str">
        <f aca="false">IF(D53="","",D53/IFERROR(INDEX(Lists!$D$2:$D$4,MATCH(E53,Lists!$C$2:$C$4,0)),1))</f>
        <v/>
      </c>
      <c r="G53" s="23" t="str">
        <f aca="false">IF(F53="","",F53*12)</f>
        <v/>
      </c>
      <c r="H53" s="24"/>
      <c r="I53" s="25" t="str">
        <f aca="false">IF(H53="","",H53-$B$3)</f>
        <v/>
      </c>
      <c r="J53" s="26" t="str">
        <f aca="false">IF(I53="","",IF(I53&lt;0,"Past - update date",IF(I53=0,"Renews TODAY",IF(I53&lt;=1,"1 day",IF(I53&lt;=3,"3 days",IF(I53&lt;=7,"7 days",IF(I53&lt;=30,"30 days","OK")))))))</f>
        <v/>
      </c>
      <c r="K53" s="24"/>
      <c r="L53" s="25" t="str">
        <f aca="false">IF(K53="","",$B$3-K53)</f>
        <v/>
      </c>
      <c r="M53" s="27"/>
      <c r="N53" s="27"/>
      <c r="O53" s="28" t="str">
        <f aca="false">IF(A53="","",IF(AND(B53&lt;&gt;"",COUNTIF($B$5:$B$104,B53)&gt;1),"Overlap: "&amp;COUNTIF($B$5:$B$104,B53)&amp;" "&amp;B53&amp;" tools. ","")&amp;IF(AND(L53&lt;&gt;"",L53&gt;=14),"Idle "&amp;L53&amp;" days. ","")&amp;IF(AND(M53&lt;&gt;"",N53&lt;&gt;"",M53&gt;N53),M53-N53&amp;" unused seat(s). ",""))</f>
        <v/>
      </c>
      <c r="P53" s="21"/>
      <c r="Q53" s="22"/>
      <c r="R53" s="23" t="str">
        <f aca="false">IF(OR(F53="",P53=""),"",IF(P53="Cancel",F53,IF(AND(P53="Downgrade",Q53&lt;&gt;""),MAX(F53-Q53,0),0)))</f>
        <v/>
      </c>
      <c r="S53" s="23" t="str">
        <f aca="false">IF(R53="","",R53*12)</f>
        <v/>
      </c>
      <c r="T53" s="29"/>
    </row>
    <row r="54" customFormat="false" ht="15" hidden="false" customHeight="false" outlineLevel="0" collapsed="false">
      <c r="A54" s="21"/>
      <c r="B54" s="21"/>
      <c r="C54" s="21"/>
      <c r="D54" s="22"/>
      <c r="E54" s="21"/>
      <c r="F54" s="23" t="str">
        <f aca="false">IF(D54="","",D54/IFERROR(INDEX(Lists!$D$2:$D$4,MATCH(E54,Lists!$C$2:$C$4,0)),1))</f>
        <v/>
      </c>
      <c r="G54" s="23" t="str">
        <f aca="false">IF(F54="","",F54*12)</f>
        <v/>
      </c>
      <c r="H54" s="24"/>
      <c r="I54" s="25" t="str">
        <f aca="false">IF(H54="","",H54-$B$3)</f>
        <v/>
      </c>
      <c r="J54" s="26" t="str">
        <f aca="false">IF(I54="","",IF(I54&lt;0,"Past - update date",IF(I54=0,"Renews TODAY",IF(I54&lt;=1,"1 day",IF(I54&lt;=3,"3 days",IF(I54&lt;=7,"7 days",IF(I54&lt;=30,"30 days","OK")))))))</f>
        <v/>
      </c>
      <c r="K54" s="24"/>
      <c r="L54" s="25" t="str">
        <f aca="false">IF(K54="","",$B$3-K54)</f>
        <v/>
      </c>
      <c r="M54" s="27"/>
      <c r="N54" s="27"/>
      <c r="O54" s="28" t="str">
        <f aca="false">IF(A54="","",IF(AND(B54&lt;&gt;"",COUNTIF($B$5:$B$104,B54)&gt;1),"Overlap: "&amp;COUNTIF($B$5:$B$104,B54)&amp;" "&amp;B54&amp;" tools. ","")&amp;IF(AND(L54&lt;&gt;"",L54&gt;=14),"Idle "&amp;L54&amp;" days. ","")&amp;IF(AND(M54&lt;&gt;"",N54&lt;&gt;"",M54&gt;N54),M54-N54&amp;" unused seat(s). ",""))</f>
        <v/>
      </c>
      <c r="P54" s="21"/>
      <c r="Q54" s="22"/>
      <c r="R54" s="23" t="str">
        <f aca="false">IF(OR(F54="",P54=""),"",IF(P54="Cancel",F54,IF(AND(P54="Downgrade",Q54&lt;&gt;""),MAX(F54-Q54,0),0)))</f>
        <v/>
      </c>
      <c r="S54" s="23" t="str">
        <f aca="false">IF(R54="","",R54*12)</f>
        <v/>
      </c>
      <c r="T54" s="29"/>
    </row>
    <row r="55" customFormat="false" ht="15" hidden="false" customHeight="false" outlineLevel="0" collapsed="false">
      <c r="A55" s="21"/>
      <c r="B55" s="21"/>
      <c r="C55" s="21"/>
      <c r="D55" s="22"/>
      <c r="E55" s="21"/>
      <c r="F55" s="23" t="str">
        <f aca="false">IF(D55="","",D55/IFERROR(INDEX(Lists!$D$2:$D$4,MATCH(E55,Lists!$C$2:$C$4,0)),1))</f>
        <v/>
      </c>
      <c r="G55" s="23" t="str">
        <f aca="false">IF(F55="","",F55*12)</f>
        <v/>
      </c>
      <c r="H55" s="24"/>
      <c r="I55" s="25" t="str">
        <f aca="false">IF(H55="","",H55-$B$3)</f>
        <v/>
      </c>
      <c r="J55" s="26" t="str">
        <f aca="false">IF(I55="","",IF(I55&lt;0,"Past - update date",IF(I55=0,"Renews TODAY",IF(I55&lt;=1,"1 day",IF(I55&lt;=3,"3 days",IF(I55&lt;=7,"7 days",IF(I55&lt;=30,"30 days","OK")))))))</f>
        <v/>
      </c>
      <c r="K55" s="24"/>
      <c r="L55" s="25" t="str">
        <f aca="false">IF(K55="","",$B$3-K55)</f>
        <v/>
      </c>
      <c r="M55" s="27"/>
      <c r="N55" s="27"/>
      <c r="O55" s="28" t="str">
        <f aca="false">IF(A55="","",IF(AND(B55&lt;&gt;"",COUNTIF($B$5:$B$104,B55)&gt;1),"Overlap: "&amp;COUNTIF($B$5:$B$104,B55)&amp;" "&amp;B55&amp;" tools. ","")&amp;IF(AND(L55&lt;&gt;"",L55&gt;=14),"Idle "&amp;L55&amp;" days. ","")&amp;IF(AND(M55&lt;&gt;"",N55&lt;&gt;"",M55&gt;N55),M55-N55&amp;" unused seat(s). ",""))</f>
        <v/>
      </c>
      <c r="P55" s="21"/>
      <c r="Q55" s="22"/>
      <c r="R55" s="23" t="str">
        <f aca="false">IF(OR(F55="",P55=""),"",IF(P55="Cancel",F55,IF(AND(P55="Downgrade",Q55&lt;&gt;""),MAX(F55-Q55,0),0)))</f>
        <v/>
      </c>
      <c r="S55" s="23" t="str">
        <f aca="false">IF(R55="","",R55*12)</f>
        <v/>
      </c>
      <c r="T55" s="29"/>
    </row>
    <row r="56" customFormat="false" ht="15" hidden="false" customHeight="false" outlineLevel="0" collapsed="false">
      <c r="A56" s="21"/>
      <c r="B56" s="21"/>
      <c r="C56" s="21"/>
      <c r="D56" s="22"/>
      <c r="E56" s="21"/>
      <c r="F56" s="23" t="str">
        <f aca="false">IF(D56="","",D56/IFERROR(INDEX(Lists!$D$2:$D$4,MATCH(E56,Lists!$C$2:$C$4,0)),1))</f>
        <v/>
      </c>
      <c r="G56" s="23" t="str">
        <f aca="false">IF(F56="","",F56*12)</f>
        <v/>
      </c>
      <c r="H56" s="24"/>
      <c r="I56" s="25" t="str">
        <f aca="false">IF(H56="","",H56-$B$3)</f>
        <v/>
      </c>
      <c r="J56" s="26" t="str">
        <f aca="false">IF(I56="","",IF(I56&lt;0,"Past - update date",IF(I56=0,"Renews TODAY",IF(I56&lt;=1,"1 day",IF(I56&lt;=3,"3 days",IF(I56&lt;=7,"7 days",IF(I56&lt;=30,"30 days","OK")))))))</f>
        <v/>
      </c>
      <c r="K56" s="24"/>
      <c r="L56" s="25" t="str">
        <f aca="false">IF(K56="","",$B$3-K56)</f>
        <v/>
      </c>
      <c r="M56" s="27"/>
      <c r="N56" s="27"/>
      <c r="O56" s="28" t="str">
        <f aca="false">IF(A56="","",IF(AND(B56&lt;&gt;"",COUNTIF($B$5:$B$104,B56)&gt;1),"Overlap: "&amp;COUNTIF($B$5:$B$104,B56)&amp;" "&amp;B56&amp;" tools. ","")&amp;IF(AND(L56&lt;&gt;"",L56&gt;=14),"Idle "&amp;L56&amp;" days. ","")&amp;IF(AND(M56&lt;&gt;"",N56&lt;&gt;"",M56&gt;N56),M56-N56&amp;" unused seat(s). ",""))</f>
        <v/>
      </c>
      <c r="P56" s="21"/>
      <c r="Q56" s="22"/>
      <c r="R56" s="23" t="str">
        <f aca="false">IF(OR(F56="",P56=""),"",IF(P56="Cancel",F56,IF(AND(P56="Downgrade",Q56&lt;&gt;""),MAX(F56-Q56,0),0)))</f>
        <v/>
      </c>
      <c r="S56" s="23" t="str">
        <f aca="false">IF(R56="","",R56*12)</f>
        <v/>
      </c>
      <c r="T56" s="29"/>
    </row>
    <row r="57" customFormat="false" ht="15" hidden="false" customHeight="false" outlineLevel="0" collapsed="false">
      <c r="A57" s="21"/>
      <c r="B57" s="21"/>
      <c r="C57" s="21"/>
      <c r="D57" s="22"/>
      <c r="E57" s="21"/>
      <c r="F57" s="23" t="str">
        <f aca="false">IF(D57="","",D57/IFERROR(INDEX(Lists!$D$2:$D$4,MATCH(E57,Lists!$C$2:$C$4,0)),1))</f>
        <v/>
      </c>
      <c r="G57" s="23" t="str">
        <f aca="false">IF(F57="","",F57*12)</f>
        <v/>
      </c>
      <c r="H57" s="24"/>
      <c r="I57" s="25" t="str">
        <f aca="false">IF(H57="","",H57-$B$3)</f>
        <v/>
      </c>
      <c r="J57" s="26" t="str">
        <f aca="false">IF(I57="","",IF(I57&lt;0,"Past - update date",IF(I57=0,"Renews TODAY",IF(I57&lt;=1,"1 day",IF(I57&lt;=3,"3 days",IF(I57&lt;=7,"7 days",IF(I57&lt;=30,"30 days","OK")))))))</f>
        <v/>
      </c>
      <c r="K57" s="24"/>
      <c r="L57" s="25" t="str">
        <f aca="false">IF(K57="","",$B$3-K57)</f>
        <v/>
      </c>
      <c r="M57" s="27"/>
      <c r="N57" s="27"/>
      <c r="O57" s="28" t="str">
        <f aca="false">IF(A57="","",IF(AND(B57&lt;&gt;"",COUNTIF($B$5:$B$104,B57)&gt;1),"Overlap: "&amp;COUNTIF($B$5:$B$104,B57)&amp;" "&amp;B57&amp;" tools. ","")&amp;IF(AND(L57&lt;&gt;"",L57&gt;=14),"Idle "&amp;L57&amp;" days. ","")&amp;IF(AND(M57&lt;&gt;"",N57&lt;&gt;"",M57&gt;N57),M57-N57&amp;" unused seat(s). ",""))</f>
        <v/>
      </c>
      <c r="P57" s="21"/>
      <c r="Q57" s="22"/>
      <c r="R57" s="23" t="str">
        <f aca="false">IF(OR(F57="",P57=""),"",IF(P57="Cancel",F57,IF(AND(P57="Downgrade",Q57&lt;&gt;""),MAX(F57-Q57,0),0)))</f>
        <v/>
      </c>
      <c r="S57" s="23" t="str">
        <f aca="false">IF(R57="","",R57*12)</f>
        <v/>
      </c>
      <c r="T57" s="29"/>
    </row>
    <row r="58" customFormat="false" ht="15" hidden="false" customHeight="false" outlineLevel="0" collapsed="false">
      <c r="A58" s="21"/>
      <c r="B58" s="21"/>
      <c r="C58" s="21"/>
      <c r="D58" s="22"/>
      <c r="E58" s="21"/>
      <c r="F58" s="23" t="str">
        <f aca="false">IF(D58="","",D58/IFERROR(INDEX(Lists!$D$2:$D$4,MATCH(E58,Lists!$C$2:$C$4,0)),1))</f>
        <v/>
      </c>
      <c r="G58" s="23" t="str">
        <f aca="false">IF(F58="","",F58*12)</f>
        <v/>
      </c>
      <c r="H58" s="24"/>
      <c r="I58" s="25" t="str">
        <f aca="false">IF(H58="","",H58-$B$3)</f>
        <v/>
      </c>
      <c r="J58" s="26" t="str">
        <f aca="false">IF(I58="","",IF(I58&lt;0,"Past - update date",IF(I58=0,"Renews TODAY",IF(I58&lt;=1,"1 day",IF(I58&lt;=3,"3 days",IF(I58&lt;=7,"7 days",IF(I58&lt;=30,"30 days","OK")))))))</f>
        <v/>
      </c>
      <c r="K58" s="24"/>
      <c r="L58" s="25" t="str">
        <f aca="false">IF(K58="","",$B$3-K58)</f>
        <v/>
      </c>
      <c r="M58" s="27"/>
      <c r="N58" s="27"/>
      <c r="O58" s="28" t="str">
        <f aca="false">IF(A58="","",IF(AND(B58&lt;&gt;"",COUNTIF($B$5:$B$104,B58)&gt;1),"Overlap: "&amp;COUNTIF($B$5:$B$104,B58)&amp;" "&amp;B58&amp;" tools. ","")&amp;IF(AND(L58&lt;&gt;"",L58&gt;=14),"Idle "&amp;L58&amp;" days. ","")&amp;IF(AND(M58&lt;&gt;"",N58&lt;&gt;"",M58&gt;N58),M58-N58&amp;" unused seat(s). ",""))</f>
        <v/>
      </c>
      <c r="P58" s="21"/>
      <c r="Q58" s="22"/>
      <c r="R58" s="23" t="str">
        <f aca="false">IF(OR(F58="",P58=""),"",IF(P58="Cancel",F58,IF(AND(P58="Downgrade",Q58&lt;&gt;""),MAX(F58-Q58,0),0)))</f>
        <v/>
      </c>
      <c r="S58" s="23" t="str">
        <f aca="false">IF(R58="","",R58*12)</f>
        <v/>
      </c>
      <c r="T58" s="29"/>
    </row>
    <row r="59" customFormat="false" ht="15" hidden="false" customHeight="false" outlineLevel="0" collapsed="false">
      <c r="A59" s="21"/>
      <c r="B59" s="21"/>
      <c r="C59" s="21"/>
      <c r="D59" s="22"/>
      <c r="E59" s="21"/>
      <c r="F59" s="23" t="str">
        <f aca="false">IF(D59="","",D59/IFERROR(INDEX(Lists!$D$2:$D$4,MATCH(E59,Lists!$C$2:$C$4,0)),1))</f>
        <v/>
      </c>
      <c r="G59" s="23" t="str">
        <f aca="false">IF(F59="","",F59*12)</f>
        <v/>
      </c>
      <c r="H59" s="24"/>
      <c r="I59" s="25" t="str">
        <f aca="false">IF(H59="","",H59-$B$3)</f>
        <v/>
      </c>
      <c r="J59" s="26" t="str">
        <f aca="false">IF(I59="","",IF(I59&lt;0,"Past - update date",IF(I59=0,"Renews TODAY",IF(I59&lt;=1,"1 day",IF(I59&lt;=3,"3 days",IF(I59&lt;=7,"7 days",IF(I59&lt;=30,"30 days","OK")))))))</f>
        <v/>
      </c>
      <c r="K59" s="24"/>
      <c r="L59" s="25" t="str">
        <f aca="false">IF(K59="","",$B$3-K59)</f>
        <v/>
      </c>
      <c r="M59" s="27"/>
      <c r="N59" s="27"/>
      <c r="O59" s="28" t="str">
        <f aca="false">IF(A59="","",IF(AND(B59&lt;&gt;"",COUNTIF($B$5:$B$104,B59)&gt;1),"Overlap: "&amp;COUNTIF($B$5:$B$104,B59)&amp;" "&amp;B59&amp;" tools. ","")&amp;IF(AND(L59&lt;&gt;"",L59&gt;=14),"Idle "&amp;L59&amp;" days. ","")&amp;IF(AND(M59&lt;&gt;"",N59&lt;&gt;"",M59&gt;N59),M59-N59&amp;" unused seat(s). ",""))</f>
        <v/>
      </c>
      <c r="P59" s="21"/>
      <c r="Q59" s="22"/>
      <c r="R59" s="23" t="str">
        <f aca="false">IF(OR(F59="",P59=""),"",IF(P59="Cancel",F59,IF(AND(P59="Downgrade",Q59&lt;&gt;""),MAX(F59-Q59,0),0)))</f>
        <v/>
      </c>
      <c r="S59" s="23" t="str">
        <f aca="false">IF(R59="","",R59*12)</f>
        <v/>
      </c>
      <c r="T59" s="29"/>
    </row>
    <row r="60" customFormat="false" ht="15" hidden="false" customHeight="false" outlineLevel="0" collapsed="false">
      <c r="A60" s="21"/>
      <c r="B60" s="21"/>
      <c r="C60" s="21"/>
      <c r="D60" s="22"/>
      <c r="E60" s="21"/>
      <c r="F60" s="23" t="str">
        <f aca="false">IF(D60="","",D60/IFERROR(INDEX(Lists!$D$2:$D$4,MATCH(E60,Lists!$C$2:$C$4,0)),1))</f>
        <v/>
      </c>
      <c r="G60" s="23" t="str">
        <f aca="false">IF(F60="","",F60*12)</f>
        <v/>
      </c>
      <c r="H60" s="24"/>
      <c r="I60" s="25" t="str">
        <f aca="false">IF(H60="","",H60-$B$3)</f>
        <v/>
      </c>
      <c r="J60" s="26" t="str">
        <f aca="false">IF(I60="","",IF(I60&lt;0,"Past - update date",IF(I60=0,"Renews TODAY",IF(I60&lt;=1,"1 day",IF(I60&lt;=3,"3 days",IF(I60&lt;=7,"7 days",IF(I60&lt;=30,"30 days","OK")))))))</f>
        <v/>
      </c>
      <c r="K60" s="24"/>
      <c r="L60" s="25" t="str">
        <f aca="false">IF(K60="","",$B$3-K60)</f>
        <v/>
      </c>
      <c r="M60" s="27"/>
      <c r="N60" s="27"/>
      <c r="O60" s="28" t="str">
        <f aca="false">IF(A60="","",IF(AND(B60&lt;&gt;"",COUNTIF($B$5:$B$104,B60)&gt;1),"Overlap: "&amp;COUNTIF($B$5:$B$104,B60)&amp;" "&amp;B60&amp;" tools. ","")&amp;IF(AND(L60&lt;&gt;"",L60&gt;=14),"Idle "&amp;L60&amp;" days. ","")&amp;IF(AND(M60&lt;&gt;"",N60&lt;&gt;"",M60&gt;N60),M60-N60&amp;" unused seat(s). ",""))</f>
        <v/>
      </c>
      <c r="P60" s="21"/>
      <c r="Q60" s="22"/>
      <c r="R60" s="23" t="str">
        <f aca="false">IF(OR(F60="",P60=""),"",IF(P60="Cancel",F60,IF(AND(P60="Downgrade",Q60&lt;&gt;""),MAX(F60-Q60,0),0)))</f>
        <v/>
      </c>
      <c r="S60" s="23" t="str">
        <f aca="false">IF(R60="","",R60*12)</f>
        <v/>
      </c>
      <c r="T60" s="29"/>
    </row>
    <row r="61" customFormat="false" ht="15" hidden="false" customHeight="false" outlineLevel="0" collapsed="false">
      <c r="A61" s="21"/>
      <c r="B61" s="21"/>
      <c r="C61" s="21"/>
      <c r="D61" s="22"/>
      <c r="E61" s="21"/>
      <c r="F61" s="23" t="str">
        <f aca="false">IF(D61="","",D61/IFERROR(INDEX(Lists!$D$2:$D$4,MATCH(E61,Lists!$C$2:$C$4,0)),1))</f>
        <v/>
      </c>
      <c r="G61" s="23" t="str">
        <f aca="false">IF(F61="","",F61*12)</f>
        <v/>
      </c>
      <c r="H61" s="24"/>
      <c r="I61" s="25" t="str">
        <f aca="false">IF(H61="","",H61-$B$3)</f>
        <v/>
      </c>
      <c r="J61" s="26" t="str">
        <f aca="false">IF(I61="","",IF(I61&lt;0,"Past - update date",IF(I61=0,"Renews TODAY",IF(I61&lt;=1,"1 day",IF(I61&lt;=3,"3 days",IF(I61&lt;=7,"7 days",IF(I61&lt;=30,"30 days","OK")))))))</f>
        <v/>
      </c>
      <c r="K61" s="24"/>
      <c r="L61" s="25" t="str">
        <f aca="false">IF(K61="","",$B$3-K61)</f>
        <v/>
      </c>
      <c r="M61" s="27"/>
      <c r="N61" s="27"/>
      <c r="O61" s="28" t="str">
        <f aca="false">IF(A61="","",IF(AND(B61&lt;&gt;"",COUNTIF($B$5:$B$104,B61)&gt;1),"Overlap: "&amp;COUNTIF($B$5:$B$104,B61)&amp;" "&amp;B61&amp;" tools. ","")&amp;IF(AND(L61&lt;&gt;"",L61&gt;=14),"Idle "&amp;L61&amp;" days. ","")&amp;IF(AND(M61&lt;&gt;"",N61&lt;&gt;"",M61&gt;N61),M61-N61&amp;" unused seat(s). ",""))</f>
        <v/>
      </c>
      <c r="P61" s="21"/>
      <c r="Q61" s="22"/>
      <c r="R61" s="23" t="str">
        <f aca="false">IF(OR(F61="",P61=""),"",IF(P61="Cancel",F61,IF(AND(P61="Downgrade",Q61&lt;&gt;""),MAX(F61-Q61,0),0)))</f>
        <v/>
      </c>
      <c r="S61" s="23" t="str">
        <f aca="false">IF(R61="","",R61*12)</f>
        <v/>
      </c>
      <c r="T61" s="29"/>
    </row>
    <row r="62" customFormat="false" ht="15" hidden="false" customHeight="false" outlineLevel="0" collapsed="false">
      <c r="A62" s="21"/>
      <c r="B62" s="21"/>
      <c r="C62" s="21"/>
      <c r="D62" s="22"/>
      <c r="E62" s="21"/>
      <c r="F62" s="23" t="str">
        <f aca="false">IF(D62="","",D62/IFERROR(INDEX(Lists!$D$2:$D$4,MATCH(E62,Lists!$C$2:$C$4,0)),1))</f>
        <v/>
      </c>
      <c r="G62" s="23" t="str">
        <f aca="false">IF(F62="","",F62*12)</f>
        <v/>
      </c>
      <c r="H62" s="24"/>
      <c r="I62" s="25" t="str">
        <f aca="false">IF(H62="","",H62-$B$3)</f>
        <v/>
      </c>
      <c r="J62" s="26" t="str">
        <f aca="false">IF(I62="","",IF(I62&lt;0,"Past - update date",IF(I62=0,"Renews TODAY",IF(I62&lt;=1,"1 day",IF(I62&lt;=3,"3 days",IF(I62&lt;=7,"7 days",IF(I62&lt;=30,"30 days","OK")))))))</f>
        <v/>
      </c>
      <c r="K62" s="24"/>
      <c r="L62" s="25" t="str">
        <f aca="false">IF(K62="","",$B$3-K62)</f>
        <v/>
      </c>
      <c r="M62" s="27"/>
      <c r="N62" s="27"/>
      <c r="O62" s="28" t="str">
        <f aca="false">IF(A62="","",IF(AND(B62&lt;&gt;"",COUNTIF($B$5:$B$104,B62)&gt;1),"Overlap: "&amp;COUNTIF($B$5:$B$104,B62)&amp;" "&amp;B62&amp;" tools. ","")&amp;IF(AND(L62&lt;&gt;"",L62&gt;=14),"Idle "&amp;L62&amp;" days. ","")&amp;IF(AND(M62&lt;&gt;"",N62&lt;&gt;"",M62&gt;N62),M62-N62&amp;" unused seat(s). ",""))</f>
        <v/>
      </c>
      <c r="P62" s="21"/>
      <c r="Q62" s="22"/>
      <c r="R62" s="23" t="str">
        <f aca="false">IF(OR(F62="",P62=""),"",IF(P62="Cancel",F62,IF(AND(P62="Downgrade",Q62&lt;&gt;""),MAX(F62-Q62,0),0)))</f>
        <v/>
      </c>
      <c r="S62" s="23" t="str">
        <f aca="false">IF(R62="","",R62*12)</f>
        <v/>
      </c>
      <c r="T62" s="29"/>
    </row>
    <row r="63" customFormat="false" ht="15" hidden="false" customHeight="false" outlineLevel="0" collapsed="false">
      <c r="A63" s="21"/>
      <c r="B63" s="21"/>
      <c r="C63" s="21"/>
      <c r="D63" s="22"/>
      <c r="E63" s="21"/>
      <c r="F63" s="23" t="str">
        <f aca="false">IF(D63="","",D63/IFERROR(INDEX(Lists!$D$2:$D$4,MATCH(E63,Lists!$C$2:$C$4,0)),1))</f>
        <v/>
      </c>
      <c r="G63" s="23" t="str">
        <f aca="false">IF(F63="","",F63*12)</f>
        <v/>
      </c>
      <c r="H63" s="24"/>
      <c r="I63" s="25" t="str">
        <f aca="false">IF(H63="","",H63-$B$3)</f>
        <v/>
      </c>
      <c r="J63" s="26" t="str">
        <f aca="false">IF(I63="","",IF(I63&lt;0,"Past - update date",IF(I63=0,"Renews TODAY",IF(I63&lt;=1,"1 day",IF(I63&lt;=3,"3 days",IF(I63&lt;=7,"7 days",IF(I63&lt;=30,"30 days","OK")))))))</f>
        <v/>
      </c>
      <c r="K63" s="24"/>
      <c r="L63" s="25" t="str">
        <f aca="false">IF(K63="","",$B$3-K63)</f>
        <v/>
      </c>
      <c r="M63" s="27"/>
      <c r="N63" s="27"/>
      <c r="O63" s="28" t="str">
        <f aca="false">IF(A63="","",IF(AND(B63&lt;&gt;"",COUNTIF($B$5:$B$104,B63)&gt;1),"Overlap: "&amp;COUNTIF($B$5:$B$104,B63)&amp;" "&amp;B63&amp;" tools. ","")&amp;IF(AND(L63&lt;&gt;"",L63&gt;=14),"Idle "&amp;L63&amp;" days. ","")&amp;IF(AND(M63&lt;&gt;"",N63&lt;&gt;"",M63&gt;N63),M63-N63&amp;" unused seat(s). ",""))</f>
        <v/>
      </c>
      <c r="P63" s="21"/>
      <c r="Q63" s="22"/>
      <c r="R63" s="23" t="str">
        <f aca="false">IF(OR(F63="",P63=""),"",IF(P63="Cancel",F63,IF(AND(P63="Downgrade",Q63&lt;&gt;""),MAX(F63-Q63,0),0)))</f>
        <v/>
      </c>
      <c r="S63" s="23" t="str">
        <f aca="false">IF(R63="","",R63*12)</f>
        <v/>
      </c>
      <c r="T63" s="29"/>
    </row>
    <row r="64" customFormat="false" ht="15" hidden="false" customHeight="false" outlineLevel="0" collapsed="false">
      <c r="A64" s="21"/>
      <c r="B64" s="21"/>
      <c r="C64" s="21"/>
      <c r="D64" s="22"/>
      <c r="E64" s="21"/>
      <c r="F64" s="23" t="str">
        <f aca="false">IF(D64="","",D64/IFERROR(INDEX(Lists!$D$2:$D$4,MATCH(E64,Lists!$C$2:$C$4,0)),1))</f>
        <v/>
      </c>
      <c r="G64" s="23" t="str">
        <f aca="false">IF(F64="","",F64*12)</f>
        <v/>
      </c>
      <c r="H64" s="24"/>
      <c r="I64" s="25" t="str">
        <f aca="false">IF(H64="","",H64-$B$3)</f>
        <v/>
      </c>
      <c r="J64" s="26" t="str">
        <f aca="false">IF(I64="","",IF(I64&lt;0,"Past - update date",IF(I64=0,"Renews TODAY",IF(I64&lt;=1,"1 day",IF(I64&lt;=3,"3 days",IF(I64&lt;=7,"7 days",IF(I64&lt;=30,"30 days","OK")))))))</f>
        <v/>
      </c>
      <c r="K64" s="24"/>
      <c r="L64" s="25" t="str">
        <f aca="false">IF(K64="","",$B$3-K64)</f>
        <v/>
      </c>
      <c r="M64" s="27"/>
      <c r="N64" s="27"/>
      <c r="O64" s="28" t="str">
        <f aca="false">IF(A64="","",IF(AND(B64&lt;&gt;"",COUNTIF($B$5:$B$104,B64)&gt;1),"Overlap: "&amp;COUNTIF($B$5:$B$104,B64)&amp;" "&amp;B64&amp;" tools. ","")&amp;IF(AND(L64&lt;&gt;"",L64&gt;=14),"Idle "&amp;L64&amp;" days. ","")&amp;IF(AND(M64&lt;&gt;"",N64&lt;&gt;"",M64&gt;N64),M64-N64&amp;" unused seat(s). ",""))</f>
        <v/>
      </c>
      <c r="P64" s="21"/>
      <c r="Q64" s="22"/>
      <c r="R64" s="23" t="str">
        <f aca="false">IF(OR(F64="",P64=""),"",IF(P64="Cancel",F64,IF(AND(P64="Downgrade",Q64&lt;&gt;""),MAX(F64-Q64,0),0)))</f>
        <v/>
      </c>
      <c r="S64" s="23" t="str">
        <f aca="false">IF(R64="","",R64*12)</f>
        <v/>
      </c>
      <c r="T64" s="29"/>
    </row>
    <row r="65" customFormat="false" ht="15" hidden="false" customHeight="false" outlineLevel="0" collapsed="false">
      <c r="A65" s="21"/>
      <c r="B65" s="21"/>
      <c r="C65" s="21"/>
      <c r="D65" s="22"/>
      <c r="E65" s="21"/>
      <c r="F65" s="23" t="str">
        <f aca="false">IF(D65="","",D65/IFERROR(INDEX(Lists!$D$2:$D$4,MATCH(E65,Lists!$C$2:$C$4,0)),1))</f>
        <v/>
      </c>
      <c r="G65" s="23" t="str">
        <f aca="false">IF(F65="","",F65*12)</f>
        <v/>
      </c>
      <c r="H65" s="24"/>
      <c r="I65" s="25" t="str">
        <f aca="false">IF(H65="","",H65-$B$3)</f>
        <v/>
      </c>
      <c r="J65" s="26" t="str">
        <f aca="false">IF(I65="","",IF(I65&lt;0,"Past - update date",IF(I65=0,"Renews TODAY",IF(I65&lt;=1,"1 day",IF(I65&lt;=3,"3 days",IF(I65&lt;=7,"7 days",IF(I65&lt;=30,"30 days","OK")))))))</f>
        <v/>
      </c>
      <c r="K65" s="24"/>
      <c r="L65" s="25" t="str">
        <f aca="false">IF(K65="","",$B$3-K65)</f>
        <v/>
      </c>
      <c r="M65" s="27"/>
      <c r="N65" s="27"/>
      <c r="O65" s="28" t="str">
        <f aca="false">IF(A65="","",IF(AND(B65&lt;&gt;"",COUNTIF($B$5:$B$104,B65)&gt;1),"Overlap: "&amp;COUNTIF($B$5:$B$104,B65)&amp;" "&amp;B65&amp;" tools. ","")&amp;IF(AND(L65&lt;&gt;"",L65&gt;=14),"Idle "&amp;L65&amp;" days. ","")&amp;IF(AND(M65&lt;&gt;"",N65&lt;&gt;"",M65&gt;N65),M65-N65&amp;" unused seat(s). ",""))</f>
        <v/>
      </c>
      <c r="P65" s="21"/>
      <c r="Q65" s="22"/>
      <c r="R65" s="23" t="str">
        <f aca="false">IF(OR(F65="",P65=""),"",IF(P65="Cancel",F65,IF(AND(P65="Downgrade",Q65&lt;&gt;""),MAX(F65-Q65,0),0)))</f>
        <v/>
      </c>
      <c r="S65" s="23" t="str">
        <f aca="false">IF(R65="","",R65*12)</f>
        <v/>
      </c>
      <c r="T65" s="29"/>
    </row>
    <row r="66" customFormat="false" ht="15" hidden="false" customHeight="false" outlineLevel="0" collapsed="false">
      <c r="A66" s="21"/>
      <c r="B66" s="21"/>
      <c r="C66" s="21"/>
      <c r="D66" s="22"/>
      <c r="E66" s="21"/>
      <c r="F66" s="23" t="str">
        <f aca="false">IF(D66="","",D66/IFERROR(INDEX(Lists!$D$2:$D$4,MATCH(E66,Lists!$C$2:$C$4,0)),1))</f>
        <v/>
      </c>
      <c r="G66" s="23" t="str">
        <f aca="false">IF(F66="","",F66*12)</f>
        <v/>
      </c>
      <c r="H66" s="24"/>
      <c r="I66" s="25" t="str">
        <f aca="false">IF(H66="","",H66-$B$3)</f>
        <v/>
      </c>
      <c r="J66" s="26" t="str">
        <f aca="false">IF(I66="","",IF(I66&lt;0,"Past - update date",IF(I66=0,"Renews TODAY",IF(I66&lt;=1,"1 day",IF(I66&lt;=3,"3 days",IF(I66&lt;=7,"7 days",IF(I66&lt;=30,"30 days","OK")))))))</f>
        <v/>
      </c>
      <c r="K66" s="24"/>
      <c r="L66" s="25" t="str">
        <f aca="false">IF(K66="","",$B$3-K66)</f>
        <v/>
      </c>
      <c r="M66" s="27"/>
      <c r="N66" s="27"/>
      <c r="O66" s="28" t="str">
        <f aca="false">IF(A66="","",IF(AND(B66&lt;&gt;"",COUNTIF($B$5:$B$104,B66)&gt;1),"Overlap: "&amp;COUNTIF($B$5:$B$104,B66)&amp;" "&amp;B66&amp;" tools. ","")&amp;IF(AND(L66&lt;&gt;"",L66&gt;=14),"Idle "&amp;L66&amp;" days. ","")&amp;IF(AND(M66&lt;&gt;"",N66&lt;&gt;"",M66&gt;N66),M66-N66&amp;" unused seat(s). ",""))</f>
        <v/>
      </c>
      <c r="P66" s="21"/>
      <c r="Q66" s="22"/>
      <c r="R66" s="23" t="str">
        <f aca="false">IF(OR(F66="",P66=""),"",IF(P66="Cancel",F66,IF(AND(P66="Downgrade",Q66&lt;&gt;""),MAX(F66-Q66,0),0)))</f>
        <v/>
      </c>
      <c r="S66" s="23" t="str">
        <f aca="false">IF(R66="","",R66*12)</f>
        <v/>
      </c>
      <c r="T66" s="29"/>
    </row>
    <row r="67" customFormat="false" ht="15" hidden="false" customHeight="false" outlineLevel="0" collapsed="false">
      <c r="A67" s="21"/>
      <c r="B67" s="21"/>
      <c r="C67" s="21"/>
      <c r="D67" s="22"/>
      <c r="E67" s="21"/>
      <c r="F67" s="23" t="str">
        <f aca="false">IF(D67="","",D67/IFERROR(INDEX(Lists!$D$2:$D$4,MATCH(E67,Lists!$C$2:$C$4,0)),1))</f>
        <v/>
      </c>
      <c r="G67" s="23" t="str">
        <f aca="false">IF(F67="","",F67*12)</f>
        <v/>
      </c>
      <c r="H67" s="24"/>
      <c r="I67" s="25" t="str">
        <f aca="false">IF(H67="","",H67-$B$3)</f>
        <v/>
      </c>
      <c r="J67" s="26" t="str">
        <f aca="false">IF(I67="","",IF(I67&lt;0,"Past - update date",IF(I67=0,"Renews TODAY",IF(I67&lt;=1,"1 day",IF(I67&lt;=3,"3 days",IF(I67&lt;=7,"7 days",IF(I67&lt;=30,"30 days","OK")))))))</f>
        <v/>
      </c>
      <c r="K67" s="24"/>
      <c r="L67" s="25" t="str">
        <f aca="false">IF(K67="","",$B$3-K67)</f>
        <v/>
      </c>
      <c r="M67" s="27"/>
      <c r="N67" s="27"/>
      <c r="O67" s="28" t="str">
        <f aca="false">IF(A67="","",IF(AND(B67&lt;&gt;"",COUNTIF($B$5:$B$104,B67)&gt;1),"Overlap: "&amp;COUNTIF($B$5:$B$104,B67)&amp;" "&amp;B67&amp;" tools. ","")&amp;IF(AND(L67&lt;&gt;"",L67&gt;=14),"Idle "&amp;L67&amp;" days. ","")&amp;IF(AND(M67&lt;&gt;"",N67&lt;&gt;"",M67&gt;N67),M67-N67&amp;" unused seat(s). ",""))</f>
        <v/>
      </c>
      <c r="P67" s="21"/>
      <c r="Q67" s="22"/>
      <c r="R67" s="23" t="str">
        <f aca="false">IF(OR(F67="",P67=""),"",IF(P67="Cancel",F67,IF(AND(P67="Downgrade",Q67&lt;&gt;""),MAX(F67-Q67,0),0)))</f>
        <v/>
      </c>
      <c r="S67" s="23" t="str">
        <f aca="false">IF(R67="","",R67*12)</f>
        <v/>
      </c>
      <c r="T67" s="29"/>
    </row>
    <row r="68" customFormat="false" ht="15" hidden="false" customHeight="false" outlineLevel="0" collapsed="false">
      <c r="A68" s="21"/>
      <c r="B68" s="21"/>
      <c r="C68" s="21"/>
      <c r="D68" s="22"/>
      <c r="E68" s="21"/>
      <c r="F68" s="23" t="str">
        <f aca="false">IF(D68="","",D68/IFERROR(INDEX(Lists!$D$2:$D$4,MATCH(E68,Lists!$C$2:$C$4,0)),1))</f>
        <v/>
      </c>
      <c r="G68" s="23" t="str">
        <f aca="false">IF(F68="","",F68*12)</f>
        <v/>
      </c>
      <c r="H68" s="24"/>
      <c r="I68" s="25" t="str">
        <f aca="false">IF(H68="","",H68-$B$3)</f>
        <v/>
      </c>
      <c r="J68" s="26" t="str">
        <f aca="false">IF(I68="","",IF(I68&lt;0,"Past - update date",IF(I68=0,"Renews TODAY",IF(I68&lt;=1,"1 day",IF(I68&lt;=3,"3 days",IF(I68&lt;=7,"7 days",IF(I68&lt;=30,"30 days","OK")))))))</f>
        <v/>
      </c>
      <c r="K68" s="24"/>
      <c r="L68" s="25" t="str">
        <f aca="false">IF(K68="","",$B$3-K68)</f>
        <v/>
      </c>
      <c r="M68" s="27"/>
      <c r="N68" s="27"/>
      <c r="O68" s="28" t="str">
        <f aca="false">IF(A68="","",IF(AND(B68&lt;&gt;"",COUNTIF($B$5:$B$104,B68)&gt;1),"Overlap: "&amp;COUNTIF($B$5:$B$104,B68)&amp;" "&amp;B68&amp;" tools. ","")&amp;IF(AND(L68&lt;&gt;"",L68&gt;=14),"Idle "&amp;L68&amp;" days. ","")&amp;IF(AND(M68&lt;&gt;"",N68&lt;&gt;"",M68&gt;N68),M68-N68&amp;" unused seat(s). ",""))</f>
        <v/>
      </c>
      <c r="P68" s="21"/>
      <c r="Q68" s="22"/>
      <c r="R68" s="23" t="str">
        <f aca="false">IF(OR(F68="",P68=""),"",IF(P68="Cancel",F68,IF(AND(P68="Downgrade",Q68&lt;&gt;""),MAX(F68-Q68,0),0)))</f>
        <v/>
      </c>
      <c r="S68" s="23" t="str">
        <f aca="false">IF(R68="","",R68*12)</f>
        <v/>
      </c>
      <c r="T68" s="29"/>
    </row>
    <row r="69" customFormat="false" ht="15" hidden="false" customHeight="false" outlineLevel="0" collapsed="false">
      <c r="A69" s="21"/>
      <c r="B69" s="21"/>
      <c r="C69" s="21"/>
      <c r="D69" s="22"/>
      <c r="E69" s="21"/>
      <c r="F69" s="23" t="str">
        <f aca="false">IF(D69="","",D69/IFERROR(INDEX(Lists!$D$2:$D$4,MATCH(E69,Lists!$C$2:$C$4,0)),1))</f>
        <v/>
      </c>
      <c r="G69" s="23" t="str">
        <f aca="false">IF(F69="","",F69*12)</f>
        <v/>
      </c>
      <c r="H69" s="24"/>
      <c r="I69" s="25" t="str">
        <f aca="false">IF(H69="","",H69-$B$3)</f>
        <v/>
      </c>
      <c r="J69" s="26" t="str">
        <f aca="false">IF(I69="","",IF(I69&lt;0,"Past - update date",IF(I69=0,"Renews TODAY",IF(I69&lt;=1,"1 day",IF(I69&lt;=3,"3 days",IF(I69&lt;=7,"7 days",IF(I69&lt;=30,"30 days","OK")))))))</f>
        <v/>
      </c>
      <c r="K69" s="24"/>
      <c r="L69" s="25" t="str">
        <f aca="false">IF(K69="","",$B$3-K69)</f>
        <v/>
      </c>
      <c r="M69" s="27"/>
      <c r="N69" s="27"/>
      <c r="O69" s="28" t="str">
        <f aca="false">IF(A69="","",IF(AND(B69&lt;&gt;"",COUNTIF($B$5:$B$104,B69)&gt;1),"Overlap: "&amp;COUNTIF($B$5:$B$104,B69)&amp;" "&amp;B69&amp;" tools. ","")&amp;IF(AND(L69&lt;&gt;"",L69&gt;=14),"Idle "&amp;L69&amp;" days. ","")&amp;IF(AND(M69&lt;&gt;"",N69&lt;&gt;"",M69&gt;N69),M69-N69&amp;" unused seat(s). ",""))</f>
        <v/>
      </c>
      <c r="P69" s="21"/>
      <c r="Q69" s="22"/>
      <c r="R69" s="23" t="str">
        <f aca="false">IF(OR(F69="",P69=""),"",IF(P69="Cancel",F69,IF(AND(P69="Downgrade",Q69&lt;&gt;""),MAX(F69-Q69,0),0)))</f>
        <v/>
      </c>
      <c r="S69" s="23" t="str">
        <f aca="false">IF(R69="","",R69*12)</f>
        <v/>
      </c>
      <c r="T69" s="29"/>
    </row>
    <row r="70" customFormat="false" ht="15" hidden="false" customHeight="false" outlineLevel="0" collapsed="false">
      <c r="A70" s="21"/>
      <c r="B70" s="21"/>
      <c r="C70" s="21"/>
      <c r="D70" s="22"/>
      <c r="E70" s="21"/>
      <c r="F70" s="23" t="str">
        <f aca="false">IF(D70="","",D70/IFERROR(INDEX(Lists!$D$2:$D$4,MATCH(E70,Lists!$C$2:$C$4,0)),1))</f>
        <v/>
      </c>
      <c r="G70" s="23" t="str">
        <f aca="false">IF(F70="","",F70*12)</f>
        <v/>
      </c>
      <c r="H70" s="24"/>
      <c r="I70" s="25" t="str">
        <f aca="false">IF(H70="","",H70-$B$3)</f>
        <v/>
      </c>
      <c r="J70" s="26" t="str">
        <f aca="false">IF(I70="","",IF(I70&lt;0,"Past - update date",IF(I70=0,"Renews TODAY",IF(I70&lt;=1,"1 day",IF(I70&lt;=3,"3 days",IF(I70&lt;=7,"7 days",IF(I70&lt;=30,"30 days","OK")))))))</f>
        <v/>
      </c>
      <c r="K70" s="24"/>
      <c r="L70" s="25" t="str">
        <f aca="false">IF(K70="","",$B$3-K70)</f>
        <v/>
      </c>
      <c r="M70" s="27"/>
      <c r="N70" s="27"/>
      <c r="O70" s="28" t="str">
        <f aca="false">IF(A70="","",IF(AND(B70&lt;&gt;"",COUNTIF($B$5:$B$104,B70)&gt;1),"Overlap: "&amp;COUNTIF($B$5:$B$104,B70)&amp;" "&amp;B70&amp;" tools. ","")&amp;IF(AND(L70&lt;&gt;"",L70&gt;=14),"Idle "&amp;L70&amp;" days. ","")&amp;IF(AND(M70&lt;&gt;"",N70&lt;&gt;"",M70&gt;N70),M70-N70&amp;" unused seat(s). ",""))</f>
        <v/>
      </c>
      <c r="P70" s="21"/>
      <c r="Q70" s="22"/>
      <c r="R70" s="23" t="str">
        <f aca="false">IF(OR(F70="",P70=""),"",IF(P70="Cancel",F70,IF(AND(P70="Downgrade",Q70&lt;&gt;""),MAX(F70-Q70,0),0)))</f>
        <v/>
      </c>
      <c r="S70" s="23" t="str">
        <f aca="false">IF(R70="","",R70*12)</f>
        <v/>
      </c>
      <c r="T70" s="29"/>
    </row>
    <row r="71" customFormat="false" ht="15" hidden="false" customHeight="false" outlineLevel="0" collapsed="false">
      <c r="A71" s="21"/>
      <c r="B71" s="21"/>
      <c r="C71" s="21"/>
      <c r="D71" s="22"/>
      <c r="E71" s="21"/>
      <c r="F71" s="23" t="str">
        <f aca="false">IF(D71="","",D71/IFERROR(INDEX(Lists!$D$2:$D$4,MATCH(E71,Lists!$C$2:$C$4,0)),1))</f>
        <v/>
      </c>
      <c r="G71" s="23" t="str">
        <f aca="false">IF(F71="","",F71*12)</f>
        <v/>
      </c>
      <c r="H71" s="24"/>
      <c r="I71" s="25" t="str">
        <f aca="false">IF(H71="","",H71-$B$3)</f>
        <v/>
      </c>
      <c r="J71" s="26" t="str">
        <f aca="false">IF(I71="","",IF(I71&lt;0,"Past - update date",IF(I71=0,"Renews TODAY",IF(I71&lt;=1,"1 day",IF(I71&lt;=3,"3 days",IF(I71&lt;=7,"7 days",IF(I71&lt;=30,"30 days","OK")))))))</f>
        <v/>
      </c>
      <c r="K71" s="24"/>
      <c r="L71" s="25" t="str">
        <f aca="false">IF(K71="","",$B$3-K71)</f>
        <v/>
      </c>
      <c r="M71" s="27"/>
      <c r="N71" s="27"/>
      <c r="O71" s="28" t="str">
        <f aca="false">IF(A71="","",IF(AND(B71&lt;&gt;"",COUNTIF($B$5:$B$104,B71)&gt;1),"Overlap: "&amp;COUNTIF($B$5:$B$104,B71)&amp;" "&amp;B71&amp;" tools. ","")&amp;IF(AND(L71&lt;&gt;"",L71&gt;=14),"Idle "&amp;L71&amp;" days. ","")&amp;IF(AND(M71&lt;&gt;"",N71&lt;&gt;"",M71&gt;N71),M71-N71&amp;" unused seat(s). ",""))</f>
        <v/>
      </c>
      <c r="P71" s="21"/>
      <c r="Q71" s="22"/>
      <c r="R71" s="23" t="str">
        <f aca="false">IF(OR(F71="",P71=""),"",IF(P71="Cancel",F71,IF(AND(P71="Downgrade",Q71&lt;&gt;""),MAX(F71-Q71,0),0)))</f>
        <v/>
      </c>
      <c r="S71" s="23" t="str">
        <f aca="false">IF(R71="","",R71*12)</f>
        <v/>
      </c>
      <c r="T71" s="29"/>
    </row>
    <row r="72" customFormat="false" ht="15" hidden="false" customHeight="false" outlineLevel="0" collapsed="false">
      <c r="A72" s="21"/>
      <c r="B72" s="21"/>
      <c r="C72" s="21"/>
      <c r="D72" s="22"/>
      <c r="E72" s="21"/>
      <c r="F72" s="23" t="str">
        <f aca="false">IF(D72="","",D72/IFERROR(INDEX(Lists!$D$2:$D$4,MATCH(E72,Lists!$C$2:$C$4,0)),1))</f>
        <v/>
      </c>
      <c r="G72" s="23" t="str">
        <f aca="false">IF(F72="","",F72*12)</f>
        <v/>
      </c>
      <c r="H72" s="24"/>
      <c r="I72" s="25" t="str">
        <f aca="false">IF(H72="","",H72-$B$3)</f>
        <v/>
      </c>
      <c r="J72" s="26" t="str">
        <f aca="false">IF(I72="","",IF(I72&lt;0,"Past - update date",IF(I72=0,"Renews TODAY",IF(I72&lt;=1,"1 day",IF(I72&lt;=3,"3 days",IF(I72&lt;=7,"7 days",IF(I72&lt;=30,"30 days","OK")))))))</f>
        <v/>
      </c>
      <c r="K72" s="24"/>
      <c r="L72" s="25" t="str">
        <f aca="false">IF(K72="","",$B$3-K72)</f>
        <v/>
      </c>
      <c r="M72" s="27"/>
      <c r="N72" s="27"/>
      <c r="O72" s="28" t="str">
        <f aca="false">IF(A72="","",IF(AND(B72&lt;&gt;"",COUNTIF($B$5:$B$104,B72)&gt;1),"Overlap: "&amp;COUNTIF($B$5:$B$104,B72)&amp;" "&amp;B72&amp;" tools. ","")&amp;IF(AND(L72&lt;&gt;"",L72&gt;=14),"Idle "&amp;L72&amp;" days. ","")&amp;IF(AND(M72&lt;&gt;"",N72&lt;&gt;"",M72&gt;N72),M72-N72&amp;" unused seat(s). ",""))</f>
        <v/>
      </c>
      <c r="P72" s="21"/>
      <c r="Q72" s="22"/>
      <c r="R72" s="23" t="str">
        <f aca="false">IF(OR(F72="",P72=""),"",IF(P72="Cancel",F72,IF(AND(P72="Downgrade",Q72&lt;&gt;""),MAX(F72-Q72,0),0)))</f>
        <v/>
      </c>
      <c r="S72" s="23" t="str">
        <f aca="false">IF(R72="","",R72*12)</f>
        <v/>
      </c>
      <c r="T72" s="29"/>
    </row>
    <row r="73" customFormat="false" ht="15" hidden="false" customHeight="false" outlineLevel="0" collapsed="false">
      <c r="A73" s="21"/>
      <c r="B73" s="21"/>
      <c r="C73" s="21"/>
      <c r="D73" s="22"/>
      <c r="E73" s="21"/>
      <c r="F73" s="23" t="str">
        <f aca="false">IF(D73="","",D73/IFERROR(INDEX(Lists!$D$2:$D$4,MATCH(E73,Lists!$C$2:$C$4,0)),1))</f>
        <v/>
      </c>
      <c r="G73" s="23" t="str">
        <f aca="false">IF(F73="","",F73*12)</f>
        <v/>
      </c>
      <c r="H73" s="24"/>
      <c r="I73" s="25" t="str">
        <f aca="false">IF(H73="","",H73-$B$3)</f>
        <v/>
      </c>
      <c r="J73" s="26" t="str">
        <f aca="false">IF(I73="","",IF(I73&lt;0,"Past - update date",IF(I73=0,"Renews TODAY",IF(I73&lt;=1,"1 day",IF(I73&lt;=3,"3 days",IF(I73&lt;=7,"7 days",IF(I73&lt;=30,"30 days","OK")))))))</f>
        <v/>
      </c>
      <c r="K73" s="24"/>
      <c r="L73" s="25" t="str">
        <f aca="false">IF(K73="","",$B$3-K73)</f>
        <v/>
      </c>
      <c r="M73" s="27"/>
      <c r="N73" s="27"/>
      <c r="O73" s="28" t="str">
        <f aca="false">IF(A73="","",IF(AND(B73&lt;&gt;"",COUNTIF($B$5:$B$104,B73)&gt;1),"Overlap: "&amp;COUNTIF($B$5:$B$104,B73)&amp;" "&amp;B73&amp;" tools. ","")&amp;IF(AND(L73&lt;&gt;"",L73&gt;=14),"Idle "&amp;L73&amp;" days. ","")&amp;IF(AND(M73&lt;&gt;"",N73&lt;&gt;"",M73&gt;N73),M73-N73&amp;" unused seat(s). ",""))</f>
        <v/>
      </c>
      <c r="P73" s="21"/>
      <c r="Q73" s="22"/>
      <c r="R73" s="23" t="str">
        <f aca="false">IF(OR(F73="",P73=""),"",IF(P73="Cancel",F73,IF(AND(P73="Downgrade",Q73&lt;&gt;""),MAX(F73-Q73,0),0)))</f>
        <v/>
      </c>
      <c r="S73" s="23" t="str">
        <f aca="false">IF(R73="","",R73*12)</f>
        <v/>
      </c>
      <c r="T73" s="29"/>
    </row>
    <row r="74" customFormat="false" ht="15" hidden="false" customHeight="false" outlineLevel="0" collapsed="false">
      <c r="A74" s="21"/>
      <c r="B74" s="21"/>
      <c r="C74" s="21"/>
      <c r="D74" s="22"/>
      <c r="E74" s="21"/>
      <c r="F74" s="23" t="str">
        <f aca="false">IF(D74="","",D74/IFERROR(INDEX(Lists!$D$2:$D$4,MATCH(E74,Lists!$C$2:$C$4,0)),1))</f>
        <v/>
      </c>
      <c r="G74" s="23" t="str">
        <f aca="false">IF(F74="","",F74*12)</f>
        <v/>
      </c>
      <c r="H74" s="24"/>
      <c r="I74" s="25" t="str">
        <f aca="false">IF(H74="","",H74-$B$3)</f>
        <v/>
      </c>
      <c r="J74" s="26" t="str">
        <f aca="false">IF(I74="","",IF(I74&lt;0,"Past - update date",IF(I74=0,"Renews TODAY",IF(I74&lt;=1,"1 day",IF(I74&lt;=3,"3 days",IF(I74&lt;=7,"7 days",IF(I74&lt;=30,"30 days","OK")))))))</f>
        <v/>
      </c>
      <c r="K74" s="24"/>
      <c r="L74" s="25" t="str">
        <f aca="false">IF(K74="","",$B$3-K74)</f>
        <v/>
      </c>
      <c r="M74" s="27"/>
      <c r="N74" s="27"/>
      <c r="O74" s="28" t="str">
        <f aca="false">IF(A74="","",IF(AND(B74&lt;&gt;"",COUNTIF($B$5:$B$104,B74)&gt;1),"Overlap: "&amp;COUNTIF($B$5:$B$104,B74)&amp;" "&amp;B74&amp;" tools. ","")&amp;IF(AND(L74&lt;&gt;"",L74&gt;=14),"Idle "&amp;L74&amp;" days. ","")&amp;IF(AND(M74&lt;&gt;"",N74&lt;&gt;"",M74&gt;N74),M74-N74&amp;" unused seat(s). ",""))</f>
        <v/>
      </c>
      <c r="P74" s="21"/>
      <c r="Q74" s="22"/>
      <c r="R74" s="23" t="str">
        <f aca="false">IF(OR(F74="",P74=""),"",IF(P74="Cancel",F74,IF(AND(P74="Downgrade",Q74&lt;&gt;""),MAX(F74-Q74,0),0)))</f>
        <v/>
      </c>
      <c r="S74" s="23" t="str">
        <f aca="false">IF(R74="","",R74*12)</f>
        <v/>
      </c>
      <c r="T74" s="29"/>
    </row>
    <row r="75" customFormat="false" ht="15" hidden="false" customHeight="false" outlineLevel="0" collapsed="false">
      <c r="A75" s="21"/>
      <c r="B75" s="21"/>
      <c r="C75" s="21"/>
      <c r="D75" s="22"/>
      <c r="E75" s="21"/>
      <c r="F75" s="23" t="str">
        <f aca="false">IF(D75="","",D75/IFERROR(INDEX(Lists!$D$2:$D$4,MATCH(E75,Lists!$C$2:$C$4,0)),1))</f>
        <v/>
      </c>
      <c r="G75" s="23" t="str">
        <f aca="false">IF(F75="","",F75*12)</f>
        <v/>
      </c>
      <c r="H75" s="24"/>
      <c r="I75" s="25" t="str">
        <f aca="false">IF(H75="","",H75-$B$3)</f>
        <v/>
      </c>
      <c r="J75" s="26" t="str">
        <f aca="false">IF(I75="","",IF(I75&lt;0,"Past - update date",IF(I75=0,"Renews TODAY",IF(I75&lt;=1,"1 day",IF(I75&lt;=3,"3 days",IF(I75&lt;=7,"7 days",IF(I75&lt;=30,"30 days","OK")))))))</f>
        <v/>
      </c>
      <c r="K75" s="24"/>
      <c r="L75" s="25" t="str">
        <f aca="false">IF(K75="","",$B$3-K75)</f>
        <v/>
      </c>
      <c r="M75" s="27"/>
      <c r="N75" s="27"/>
      <c r="O75" s="28" t="str">
        <f aca="false">IF(A75="","",IF(AND(B75&lt;&gt;"",COUNTIF($B$5:$B$104,B75)&gt;1),"Overlap: "&amp;COUNTIF($B$5:$B$104,B75)&amp;" "&amp;B75&amp;" tools. ","")&amp;IF(AND(L75&lt;&gt;"",L75&gt;=14),"Idle "&amp;L75&amp;" days. ","")&amp;IF(AND(M75&lt;&gt;"",N75&lt;&gt;"",M75&gt;N75),M75-N75&amp;" unused seat(s). ",""))</f>
        <v/>
      </c>
      <c r="P75" s="21"/>
      <c r="Q75" s="22"/>
      <c r="R75" s="23" t="str">
        <f aca="false">IF(OR(F75="",P75=""),"",IF(P75="Cancel",F75,IF(AND(P75="Downgrade",Q75&lt;&gt;""),MAX(F75-Q75,0),0)))</f>
        <v/>
      </c>
      <c r="S75" s="23" t="str">
        <f aca="false">IF(R75="","",R75*12)</f>
        <v/>
      </c>
      <c r="T75" s="29"/>
    </row>
    <row r="76" customFormat="false" ht="15" hidden="false" customHeight="false" outlineLevel="0" collapsed="false">
      <c r="A76" s="21"/>
      <c r="B76" s="21"/>
      <c r="C76" s="21"/>
      <c r="D76" s="22"/>
      <c r="E76" s="21"/>
      <c r="F76" s="23" t="str">
        <f aca="false">IF(D76="","",D76/IFERROR(INDEX(Lists!$D$2:$D$4,MATCH(E76,Lists!$C$2:$C$4,0)),1))</f>
        <v/>
      </c>
      <c r="G76" s="23" t="str">
        <f aca="false">IF(F76="","",F76*12)</f>
        <v/>
      </c>
      <c r="H76" s="24"/>
      <c r="I76" s="25" t="str">
        <f aca="false">IF(H76="","",H76-$B$3)</f>
        <v/>
      </c>
      <c r="J76" s="26" t="str">
        <f aca="false">IF(I76="","",IF(I76&lt;0,"Past - update date",IF(I76=0,"Renews TODAY",IF(I76&lt;=1,"1 day",IF(I76&lt;=3,"3 days",IF(I76&lt;=7,"7 days",IF(I76&lt;=30,"30 days","OK")))))))</f>
        <v/>
      </c>
      <c r="K76" s="24"/>
      <c r="L76" s="25" t="str">
        <f aca="false">IF(K76="","",$B$3-K76)</f>
        <v/>
      </c>
      <c r="M76" s="27"/>
      <c r="N76" s="27"/>
      <c r="O76" s="28" t="str">
        <f aca="false">IF(A76="","",IF(AND(B76&lt;&gt;"",COUNTIF($B$5:$B$104,B76)&gt;1),"Overlap: "&amp;COUNTIF($B$5:$B$104,B76)&amp;" "&amp;B76&amp;" tools. ","")&amp;IF(AND(L76&lt;&gt;"",L76&gt;=14),"Idle "&amp;L76&amp;" days. ","")&amp;IF(AND(M76&lt;&gt;"",N76&lt;&gt;"",M76&gt;N76),M76-N76&amp;" unused seat(s). ",""))</f>
        <v/>
      </c>
      <c r="P76" s="21"/>
      <c r="Q76" s="22"/>
      <c r="R76" s="23" t="str">
        <f aca="false">IF(OR(F76="",P76=""),"",IF(P76="Cancel",F76,IF(AND(P76="Downgrade",Q76&lt;&gt;""),MAX(F76-Q76,0),0)))</f>
        <v/>
      </c>
      <c r="S76" s="23" t="str">
        <f aca="false">IF(R76="","",R76*12)</f>
        <v/>
      </c>
      <c r="T76" s="29"/>
    </row>
    <row r="77" customFormat="false" ht="15" hidden="false" customHeight="false" outlineLevel="0" collapsed="false">
      <c r="A77" s="21"/>
      <c r="B77" s="21"/>
      <c r="C77" s="21"/>
      <c r="D77" s="22"/>
      <c r="E77" s="21"/>
      <c r="F77" s="23" t="str">
        <f aca="false">IF(D77="","",D77/IFERROR(INDEX(Lists!$D$2:$D$4,MATCH(E77,Lists!$C$2:$C$4,0)),1))</f>
        <v/>
      </c>
      <c r="G77" s="23" t="str">
        <f aca="false">IF(F77="","",F77*12)</f>
        <v/>
      </c>
      <c r="H77" s="24"/>
      <c r="I77" s="25" t="str">
        <f aca="false">IF(H77="","",H77-$B$3)</f>
        <v/>
      </c>
      <c r="J77" s="26" t="str">
        <f aca="false">IF(I77="","",IF(I77&lt;0,"Past - update date",IF(I77=0,"Renews TODAY",IF(I77&lt;=1,"1 day",IF(I77&lt;=3,"3 days",IF(I77&lt;=7,"7 days",IF(I77&lt;=30,"30 days","OK")))))))</f>
        <v/>
      </c>
      <c r="K77" s="24"/>
      <c r="L77" s="25" t="str">
        <f aca="false">IF(K77="","",$B$3-K77)</f>
        <v/>
      </c>
      <c r="M77" s="27"/>
      <c r="N77" s="27"/>
      <c r="O77" s="28" t="str">
        <f aca="false">IF(A77="","",IF(AND(B77&lt;&gt;"",COUNTIF($B$5:$B$104,B77)&gt;1),"Overlap: "&amp;COUNTIF($B$5:$B$104,B77)&amp;" "&amp;B77&amp;" tools. ","")&amp;IF(AND(L77&lt;&gt;"",L77&gt;=14),"Idle "&amp;L77&amp;" days. ","")&amp;IF(AND(M77&lt;&gt;"",N77&lt;&gt;"",M77&gt;N77),M77-N77&amp;" unused seat(s). ",""))</f>
        <v/>
      </c>
      <c r="P77" s="21"/>
      <c r="Q77" s="22"/>
      <c r="R77" s="23" t="str">
        <f aca="false">IF(OR(F77="",P77=""),"",IF(P77="Cancel",F77,IF(AND(P77="Downgrade",Q77&lt;&gt;""),MAX(F77-Q77,0),0)))</f>
        <v/>
      </c>
      <c r="S77" s="23" t="str">
        <f aca="false">IF(R77="","",R77*12)</f>
        <v/>
      </c>
      <c r="T77" s="29"/>
    </row>
    <row r="78" customFormat="false" ht="15" hidden="false" customHeight="false" outlineLevel="0" collapsed="false">
      <c r="A78" s="21"/>
      <c r="B78" s="21"/>
      <c r="C78" s="21"/>
      <c r="D78" s="22"/>
      <c r="E78" s="21"/>
      <c r="F78" s="23" t="str">
        <f aca="false">IF(D78="","",D78/IFERROR(INDEX(Lists!$D$2:$D$4,MATCH(E78,Lists!$C$2:$C$4,0)),1))</f>
        <v/>
      </c>
      <c r="G78" s="23" t="str">
        <f aca="false">IF(F78="","",F78*12)</f>
        <v/>
      </c>
      <c r="H78" s="24"/>
      <c r="I78" s="25" t="str">
        <f aca="false">IF(H78="","",H78-$B$3)</f>
        <v/>
      </c>
      <c r="J78" s="26" t="str">
        <f aca="false">IF(I78="","",IF(I78&lt;0,"Past - update date",IF(I78=0,"Renews TODAY",IF(I78&lt;=1,"1 day",IF(I78&lt;=3,"3 days",IF(I78&lt;=7,"7 days",IF(I78&lt;=30,"30 days","OK")))))))</f>
        <v/>
      </c>
      <c r="K78" s="24"/>
      <c r="L78" s="25" t="str">
        <f aca="false">IF(K78="","",$B$3-K78)</f>
        <v/>
      </c>
      <c r="M78" s="27"/>
      <c r="N78" s="27"/>
      <c r="O78" s="28" t="str">
        <f aca="false">IF(A78="","",IF(AND(B78&lt;&gt;"",COUNTIF($B$5:$B$104,B78)&gt;1),"Overlap: "&amp;COUNTIF($B$5:$B$104,B78)&amp;" "&amp;B78&amp;" tools. ","")&amp;IF(AND(L78&lt;&gt;"",L78&gt;=14),"Idle "&amp;L78&amp;" days. ","")&amp;IF(AND(M78&lt;&gt;"",N78&lt;&gt;"",M78&gt;N78),M78-N78&amp;" unused seat(s). ",""))</f>
        <v/>
      </c>
      <c r="P78" s="21"/>
      <c r="Q78" s="22"/>
      <c r="R78" s="23" t="str">
        <f aca="false">IF(OR(F78="",P78=""),"",IF(P78="Cancel",F78,IF(AND(P78="Downgrade",Q78&lt;&gt;""),MAX(F78-Q78,0),0)))</f>
        <v/>
      </c>
      <c r="S78" s="23" t="str">
        <f aca="false">IF(R78="","",R78*12)</f>
        <v/>
      </c>
      <c r="T78" s="29"/>
    </row>
    <row r="79" customFormat="false" ht="15" hidden="false" customHeight="false" outlineLevel="0" collapsed="false">
      <c r="A79" s="21"/>
      <c r="B79" s="21"/>
      <c r="C79" s="21"/>
      <c r="D79" s="22"/>
      <c r="E79" s="21"/>
      <c r="F79" s="23" t="str">
        <f aca="false">IF(D79="","",D79/IFERROR(INDEX(Lists!$D$2:$D$4,MATCH(E79,Lists!$C$2:$C$4,0)),1))</f>
        <v/>
      </c>
      <c r="G79" s="23" t="str">
        <f aca="false">IF(F79="","",F79*12)</f>
        <v/>
      </c>
      <c r="H79" s="24"/>
      <c r="I79" s="25" t="str">
        <f aca="false">IF(H79="","",H79-$B$3)</f>
        <v/>
      </c>
      <c r="J79" s="26" t="str">
        <f aca="false">IF(I79="","",IF(I79&lt;0,"Past - update date",IF(I79=0,"Renews TODAY",IF(I79&lt;=1,"1 day",IF(I79&lt;=3,"3 days",IF(I79&lt;=7,"7 days",IF(I79&lt;=30,"30 days","OK")))))))</f>
        <v/>
      </c>
      <c r="K79" s="24"/>
      <c r="L79" s="25" t="str">
        <f aca="false">IF(K79="","",$B$3-K79)</f>
        <v/>
      </c>
      <c r="M79" s="27"/>
      <c r="N79" s="27"/>
      <c r="O79" s="28" t="str">
        <f aca="false">IF(A79="","",IF(AND(B79&lt;&gt;"",COUNTIF($B$5:$B$104,B79)&gt;1),"Overlap: "&amp;COUNTIF($B$5:$B$104,B79)&amp;" "&amp;B79&amp;" tools. ","")&amp;IF(AND(L79&lt;&gt;"",L79&gt;=14),"Idle "&amp;L79&amp;" days. ","")&amp;IF(AND(M79&lt;&gt;"",N79&lt;&gt;"",M79&gt;N79),M79-N79&amp;" unused seat(s). ",""))</f>
        <v/>
      </c>
      <c r="P79" s="21"/>
      <c r="Q79" s="22"/>
      <c r="R79" s="23" t="str">
        <f aca="false">IF(OR(F79="",P79=""),"",IF(P79="Cancel",F79,IF(AND(P79="Downgrade",Q79&lt;&gt;""),MAX(F79-Q79,0),0)))</f>
        <v/>
      </c>
      <c r="S79" s="23" t="str">
        <f aca="false">IF(R79="","",R79*12)</f>
        <v/>
      </c>
      <c r="T79" s="29"/>
    </row>
    <row r="80" customFormat="false" ht="15" hidden="false" customHeight="false" outlineLevel="0" collapsed="false">
      <c r="A80" s="21"/>
      <c r="B80" s="21"/>
      <c r="C80" s="21"/>
      <c r="D80" s="22"/>
      <c r="E80" s="21"/>
      <c r="F80" s="23" t="str">
        <f aca="false">IF(D80="","",D80/IFERROR(INDEX(Lists!$D$2:$D$4,MATCH(E80,Lists!$C$2:$C$4,0)),1))</f>
        <v/>
      </c>
      <c r="G80" s="23" t="str">
        <f aca="false">IF(F80="","",F80*12)</f>
        <v/>
      </c>
      <c r="H80" s="24"/>
      <c r="I80" s="25" t="str">
        <f aca="false">IF(H80="","",H80-$B$3)</f>
        <v/>
      </c>
      <c r="J80" s="26" t="str">
        <f aca="false">IF(I80="","",IF(I80&lt;0,"Past - update date",IF(I80=0,"Renews TODAY",IF(I80&lt;=1,"1 day",IF(I80&lt;=3,"3 days",IF(I80&lt;=7,"7 days",IF(I80&lt;=30,"30 days","OK")))))))</f>
        <v/>
      </c>
      <c r="K80" s="24"/>
      <c r="L80" s="25" t="str">
        <f aca="false">IF(K80="","",$B$3-K80)</f>
        <v/>
      </c>
      <c r="M80" s="27"/>
      <c r="N80" s="27"/>
      <c r="O80" s="28" t="str">
        <f aca="false">IF(A80="","",IF(AND(B80&lt;&gt;"",COUNTIF($B$5:$B$104,B80)&gt;1),"Overlap: "&amp;COUNTIF($B$5:$B$104,B80)&amp;" "&amp;B80&amp;" tools. ","")&amp;IF(AND(L80&lt;&gt;"",L80&gt;=14),"Idle "&amp;L80&amp;" days. ","")&amp;IF(AND(M80&lt;&gt;"",N80&lt;&gt;"",M80&gt;N80),M80-N80&amp;" unused seat(s). ",""))</f>
        <v/>
      </c>
      <c r="P80" s="21"/>
      <c r="Q80" s="22"/>
      <c r="R80" s="23" t="str">
        <f aca="false">IF(OR(F80="",P80=""),"",IF(P80="Cancel",F80,IF(AND(P80="Downgrade",Q80&lt;&gt;""),MAX(F80-Q80,0),0)))</f>
        <v/>
      </c>
      <c r="S80" s="23" t="str">
        <f aca="false">IF(R80="","",R80*12)</f>
        <v/>
      </c>
      <c r="T80" s="29"/>
    </row>
    <row r="81" customFormat="false" ht="15" hidden="false" customHeight="false" outlineLevel="0" collapsed="false">
      <c r="A81" s="21"/>
      <c r="B81" s="21"/>
      <c r="C81" s="21"/>
      <c r="D81" s="22"/>
      <c r="E81" s="21"/>
      <c r="F81" s="23" t="str">
        <f aca="false">IF(D81="","",D81/IFERROR(INDEX(Lists!$D$2:$D$4,MATCH(E81,Lists!$C$2:$C$4,0)),1))</f>
        <v/>
      </c>
      <c r="G81" s="23" t="str">
        <f aca="false">IF(F81="","",F81*12)</f>
        <v/>
      </c>
      <c r="H81" s="24"/>
      <c r="I81" s="25" t="str">
        <f aca="false">IF(H81="","",H81-$B$3)</f>
        <v/>
      </c>
      <c r="J81" s="26" t="str">
        <f aca="false">IF(I81="","",IF(I81&lt;0,"Past - update date",IF(I81=0,"Renews TODAY",IF(I81&lt;=1,"1 day",IF(I81&lt;=3,"3 days",IF(I81&lt;=7,"7 days",IF(I81&lt;=30,"30 days","OK")))))))</f>
        <v/>
      </c>
      <c r="K81" s="24"/>
      <c r="L81" s="25" t="str">
        <f aca="false">IF(K81="","",$B$3-K81)</f>
        <v/>
      </c>
      <c r="M81" s="27"/>
      <c r="N81" s="27"/>
      <c r="O81" s="28" t="str">
        <f aca="false">IF(A81="","",IF(AND(B81&lt;&gt;"",COUNTIF($B$5:$B$104,B81)&gt;1),"Overlap: "&amp;COUNTIF($B$5:$B$104,B81)&amp;" "&amp;B81&amp;" tools. ","")&amp;IF(AND(L81&lt;&gt;"",L81&gt;=14),"Idle "&amp;L81&amp;" days. ","")&amp;IF(AND(M81&lt;&gt;"",N81&lt;&gt;"",M81&gt;N81),M81-N81&amp;" unused seat(s). ",""))</f>
        <v/>
      </c>
      <c r="P81" s="21"/>
      <c r="Q81" s="22"/>
      <c r="R81" s="23" t="str">
        <f aca="false">IF(OR(F81="",P81=""),"",IF(P81="Cancel",F81,IF(AND(P81="Downgrade",Q81&lt;&gt;""),MAX(F81-Q81,0),0)))</f>
        <v/>
      </c>
      <c r="S81" s="23" t="str">
        <f aca="false">IF(R81="","",R81*12)</f>
        <v/>
      </c>
      <c r="T81" s="29"/>
    </row>
    <row r="82" customFormat="false" ht="15" hidden="false" customHeight="false" outlineLevel="0" collapsed="false">
      <c r="A82" s="21"/>
      <c r="B82" s="21"/>
      <c r="C82" s="21"/>
      <c r="D82" s="22"/>
      <c r="E82" s="21"/>
      <c r="F82" s="23" t="str">
        <f aca="false">IF(D82="","",D82/IFERROR(INDEX(Lists!$D$2:$D$4,MATCH(E82,Lists!$C$2:$C$4,0)),1))</f>
        <v/>
      </c>
      <c r="G82" s="23" t="str">
        <f aca="false">IF(F82="","",F82*12)</f>
        <v/>
      </c>
      <c r="H82" s="24"/>
      <c r="I82" s="25" t="str">
        <f aca="false">IF(H82="","",H82-$B$3)</f>
        <v/>
      </c>
      <c r="J82" s="26" t="str">
        <f aca="false">IF(I82="","",IF(I82&lt;0,"Past - update date",IF(I82=0,"Renews TODAY",IF(I82&lt;=1,"1 day",IF(I82&lt;=3,"3 days",IF(I82&lt;=7,"7 days",IF(I82&lt;=30,"30 days","OK")))))))</f>
        <v/>
      </c>
      <c r="K82" s="24"/>
      <c r="L82" s="25" t="str">
        <f aca="false">IF(K82="","",$B$3-K82)</f>
        <v/>
      </c>
      <c r="M82" s="27"/>
      <c r="N82" s="27"/>
      <c r="O82" s="28" t="str">
        <f aca="false">IF(A82="","",IF(AND(B82&lt;&gt;"",COUNTIF($B$5:$B$104,B82)&gt;1),"Overlap: "&amp;COUNTIF($B$5:$B$104,B82)&amp;" "&amp;B82&amp;" tools. ","")&amp;IF(AND(L82&lt;&gt;"",L82&gt;=14),"Idle "&amp;L82&amp;" days. ","")&amp;IF(AND(M82&lt;&gt;"",N82&lt;&gt;"",M82&gt;N82),M82-N82&amp;" unused seat(s). ",""))</f>
        <v/>
      </c>
      <c r="P82" s="21"/>
      <c r="Q82" s="22"/>
      <c r="R82" s="23" t="str">
        <f aca="false">IF(OR(F82="",P82=""),"",IF(P82="Cancel",F82,IF(AND(P82="Downgrade",Q82&lt;&gt;""),MAX(F82-Q82,0),0)))</f>
        <v/>
      </c>
      <c r="S82" s="23" t="str">
        <f aca="false">IF(R82="","",R82*12)</f>
        <v/>
      </c>
      <c r="T82" s="29"/>
    </row>
    <row r="83" customFormat="false" ht="15" hidden="false" customHeight="false" outlineLevel="0" collapsed="false">
      <c r="A83" s="21"/>
      <c r="B83" s="21"/>
      <c r="C83" s="21"/>
      <c r="D83" s="22"/>
      <c r="E83" s="21"/>
      <c r="F83" s="23" t="str">
        <f aca="false">IF(D83="","",D83/IFERROR(INDEX(Lists!$D$2:$D$4,MATCH(E83,Lists!$C$2:$C$4,0)),1))</f>
        <v/>
      </c>
      <c r="G83" s="23" t="str">
        <f aca="false">IF(F83="","",F83*12)</f>
        <v/>
      </c>
      <c r="H83" s="24"/>
      <c r="I83" s="25" t="str">
        <f aca="false">IF(H83="","",H83-$B$3)</f>
        <v/>
      </c>
      <c r="J83" s="26" t="str">
        <f aca="false">IF(I83="","",IF(I83&lt;0,"Past - update date",IF(I83=0,"Renews TODAY",IF(I83&lt;=1,"1 day",IF(I83&lt;=3,"3 days",IF(I83&lt;=7,"7 days",IF(I83&lt;=30,"30 days","OK")))))))</f>
        <v/>
      </c>
      <c r="K83" s="24"/>
      <c r="L83" s="25" t="str">
        <f aca="false">IF(K83="","",$B$3-K83)</f>
        <v/>
      </c>
      <c r="M83" s="27"/>
      <c r="N83" s="27"/>
      <c r="O83" s="28" t="str">
        <f aca="false">IF(A83="","",IF(AND(B83&lt;&gt;"",COUNTIF($B$5:$B$104,B83)&gt;1),"Overlap: "&amp;COUNTIF($B$5:$B$104,B83)&amp;" "&amp;B83&amp;" tools. ","")&amp;IF(AND(L83&lt;&gt;"",L83&gt;=14),"Idle "&amp;L83&amp;" days. ","")&amp;IF(AND(M83&lt;&gt;"",N83&lt;&gt;"",M83&gt;N83),M83-N83&amp;" unused seat(s). ",""))</f>
        <v/>
      </c>
      <c r="P83" s="21"/>
      <c r="Q83" s="22"/>
      <c r="R83" s="23" t="str">
        <f aca="false">IF(OR(F83="",P83=""),"",IF(P83="Cancel",F83,IF(AND(P83="Downgrade",Q83&lt;&gt;""),MAX(F83-Q83,0),0)))</f>
        <v/>
      </c>
      <c r="S83" s="23" t="str">
        <f aca="false">IF(R83="","",R83*12)</f>
        <v/>
      </c>
      <c r="T83" s="29"/>
    </row>
    <row r="84" customFormat="false" ht="15" hidden="false" customHeight="false" outlineLevel="0" collapsed="false">
      <c r="A84" s="21"/>
      <c r="B84" s="21"/>
      <c r="C84" s="21"/>
      <c r="D84" s="22"/>
      <c r="E84" s="21"/>
      <c r="F84" s="23" t="str">
        <f aca="false">IF(D84="","",D84/IFERROR(INDEX(Lists!$D$2:$D$4,MATCH(E84,Lists!$C$2:$C$4,0)),1))</f>
        <v/>
      </c>
      <c r="G84" s="23" t="str">
        <f aca="false">IF(F84="","",F84*12)</f>
        <v/>
      </c>
      <c r="H84" s="24"/>
      <c r="I84" s="25" t="str">
        <f aca="false">IF(H84="","",H84-$B$3)</f>
        <v/>
      </c>
      <c r="J84" s="26" t="str">
        <f aca="false">IF(I84="","",IF(I84&lt;0,"Past - update date",IF(I84=0,"Renews TODAY",IF(I84&lt;=1,"1 day",IF(I84&lt;=3,"3 days",IF(I84&lt;=7,"7 days",IF(I84&lt;=30,"30 days","OK")))))))</f>
        <v/>
      </c>
      <c r="K84" s="24"/>
      <c r="L84" s="25" t="str">
        <f aca="false">IF(K84="","",$B$3-K84)</f>
        <v/>
      </c>
      <c r="M84" s="27"/>
      <c r="N84" s="27"/>
      <c r="O84" s="28" t="str">
        <f aca="false">IF(A84="","",IF(AND(B84&lt;&gt;"",COUNTIF($B$5:$B$104,B84)&gt;1),"Overlap: "&amp;COUNTIF($B$5:$B$104,B84)&amp;" "&amp;B84&amp;" tools. ","")&amp;IF(AND(L84&lt;&gt;"",L84&gt;=14),"Idle "&amp;L84&amp;" days. ","")&amp;IF(AND(M84&lt;&gt;"",N84&lt;&gt;"",M84&gt;N84),M84-N84&amp;" unused seat(s). ",""))</f>
        <v/>
      </c>
      <c r="P84" s="21"/>
      <c r="Q84" s="22"/>
      <c r="R84" s="23" t="str">
        <f aca="false">IF(OR(F84="",P84=""),"",IF(P84="Cancel",F84,IF(AND(P84="Downgrade",Q84&lt;&gt;""),MAX(F84-Q84,0),0)))</f>
        <v/>
      </c>
      <c r="S84" s="23" t="str">
        <f aca="false">IF(R84="","",R84*12)</f>
        <v/>
      </c>
      <c r="T84" s="29"/>
    </row>
    <row r="85" customFormat="false" ht="15" hidden="false" customHeight="false" outlineLevel="0" collapsed="false">
      <c r="A85" s="21"/>
      <c r="B85" s="21"/>
      <c r="C85" s="21"/>
      <c r="D85" s="22"/>
      <c r="E85" s="21"/>
      <c r="F85" s="23" t="str">
        <f aca="false">IF(D85="","",D85/IFERROR(INDEX(Lists!$D$2:$D$4,MATCH(E85,Lists!$C$2:$C$4,0)),1))</f>
        <v/>
      </c>
      <c r="G85" s="23" t="str">
        <f aca="false">IF(F85="","",F85*12)</f>
        <v/>
      </c>
      <c r="H85" s="24"/>
      <c r="I85" s="25" t="str">
        <f aca="false">IF(H85="","",H85-$B$3)</f>
        <v/>
      </c>
      <c r="J85" s="26" t="str">
        <f aca="false">IF(I85="","",IF(I85&lt;0,"Past - update date",IF(I85=0,"Renews TODAY",IF(I85&lt;=1,"1 day",IF(I85&lt;=3,"3 days",IF(I85&lt;=7,"7 days",IF(I85&lt;=30,"30 days","OK")))))))</f>
        <v/>
      </c>
      <c r="K85" s="24"/>
      <c r="L85" s="25" t="str">
        <f aca="false">IF(K85="","",$B$3-K85)</f>
        <v/>
      </c>
      <c r="M85" s="27"/>
      <c r="N85" s="27"/>
      <c r="O85" s="28" t="str">
        <f aca="false">IF(A85="","",IF(AND(B85&lt;&gt;"",COUNTIF($B$5:$B$104,B85)&gt;1),"Overlap: "&amp;COUNTIF($B$5:$B$104,B85)&amp;" "&amp;B85&amp;" tools. ","")&amp;IF(AND(L85&lt;&gt;"",L85&gt;=14),"Idle "&amp;L85&amp;" days. ","")&amp;IF(AND(M85&lt;&gt;"",N85&lt;&gt;"",M85&gt;N85),M85-N85&amp;" unused seat(s). ",""))</f>
        <v/>
      </c>
      <c r="P85" s="21"/>
      <c r="Q85" s="22"/>
      <c r="R85" s="23" t="str">
        <f aca="false">IF(OR(F85="",P85=""),"",IF(P85="Cancel",F85,IF(AND(P85="Downgrade",Q85&lt;&gt;""),MAX(F85-Q85,0),0)))</f>
        <v/>
      </c>
      <c r="S85" s="23" t="str">
        <f aca="false">IF(R85="","",R85*12)</f>
        <v/>
      </c>
      <c r="T85" s="29"/>
    </row>
    <row r="86" customFormat="false" ht="15" hidden="false" customHeight="false" outlineLevel="0" collapsed="false">
      <c r="A86" s="21"/>
      <c r="B86" s="21"/>
      <c r="C86" s="21"/>
      <c r="D86" s="22"/>
      <c r="E86" s="21"/>
      <c r="F86" s="23" t="str">
        <f aca="false">IF(D86="","",D86/IFERROR(INDEX(Lists!$D$2:$D$4,MATCH(E86,Lists!$C$2:$C$4,0)),1))</f>
        <v/>
      </c>
      <c r="G86" s="23" t="str">
        <f aca="false">IF(F86="","",F86*12)</f>
        <v/>
      </c>
      <c r="H86" s="24"/>
      <c r="I86" s="25" t="str">
        <f aca="false">IF(H86="","",H86-$B$3)</f>
        <v/>
      </c>
      <c r="J86" s="26" t="str">
        <f aca="false">IF(I86="","",IF(I86&lt;0,"Past - update date",IF(I86=0,"Renews TODAY",IF(I86&lt;=1,"1 day",IF(I86&lt;=3,"3 days",IF(I86&lt;=7,"7 days",IF(I86&lt;=30,"30 days","OK")))))))</f>
        <v/>
      </c>
      <c r="K86" s="24"/>
      <c r="L86" s="25" t="str">
        <f aca="false">IF(K86="","",$B$3-K86)</f>
        <v/>
      </c>
      <c r="M86" s="27"/>
      <c r="N86" s="27"/>
      <c r="O86" s="28" t="str">
        <f aca="false">IF(A86="","",IF(AND(B86&lt;&gt;"",COUNTIF($B$5:$B$104,B86)&gt;1),"Overlap: "&amp;COUNTIF($B$5:$B$104,B86)&amp;" "&amp;B86&amp;" tools. ","")&amp;IF(AND(L86&lt;&gt;"",L86&gt;=14),"Idle "&amp;L86&amp;" days. ","")&amp;IF(AND(M86&lt;&gt;"",N86&lt;&gt;"",M86&gt;N86),M86-N86&amp;" unused seat(s). ",""))</f>
        <v/>
      </c>
      <c r="P86" s="21"/>
      <c r="Q86" s="22"/>
      <c r="R86" s="23" t="str">
        <f aca="false">IF(OR(F86="",P86=""),"",IF(P86="Cancel",F86,IF(AND(P86="Downgrade",Q86&lt;&gt;""),MAX(F86-Q86,0),0)))</f>
        <v/>
      </c>
      <c r="S86" s="23" t="str">
        <f aca="false">IF(R86="","",R86*12)</f>
        <v/>
      </c>
      <c r="T86" s="29"/>
    </row>
    <row r="87" customFormat="false" ht="15" hidden="false" customHeight="false" outlineLevel="0" collapsed="false">
      <c r="A87" s="21"/>
      <c r="B87" s="21"/>
      <c r="C87" s="21"/>
      <c r="D87" s="22"/>
      <c r="E87" s="21"/>
      <c r="F87" s="23" t="str">
        <f aca="false">IF(D87="","",D87/IFERROR(INDEX(Lists!$D$2:$D$4,MATCH(E87,Lists!$C$2:$C$4,0)),1))</f>
        <v/>
      </c>
      <c r="G87" s="23" t="str">
        <f aca="false">IF(F87="","",F87*12)</f>
        <v/>
      </c>
      <c r="H87" s="24"/>
      <c r="I87" s="25" t="str">
        <f aca="false">IF(H87="","",H87-$B$3)</f>
        <v/>
      </c>
      <c r="J87" s="26" t="str">
        <f aca="false">IF(I87="","",IF(I87&lt;0,"Past - update date",IF(I87=0,"Renews TODAY",IF(I87&lt;=1,"1 day",IF(I87&lt;=3,"3 days",IF(I87&lt;=7,"7 days",IF(I87&lt;=30,"30 days","OK")))))))</f>
        <v/>
      </c>
      <c r="K87" s="24"/>
      <c r="L87" s="25" t="str">
        <f aca="false">IF(K87="","",$B$3-K87)</f>
        <v/>
      </c>
      <c r="M87" s="27"/>
      <c r="N87" s="27"/>
      <c r="O87" s="28" t="str">
        <f aca="false">IF(A87="","",IF(AND(B87&lt;&gt;"",COUNTIF($B$5:$B$104,B87)&gt;1),"Overlap: "&amp;COUNTIF($B$5:$B$104,B87)&amp;" "&amp;B87&amp;" tools. ","")&amp;IF(AND(L87&lt;&gt;"",L87&gt;=14),"Idle "&amp;L87&amp;" days. ","")&amp;IF(AND(M87&lt;&gt;"",N87&lt;&gt;"",M87&gt;N87),M87-N87&amp;" unused seat(s). ",""))</f>
        <v/>
      </c>
      <c r="P87" s="21"/>
      <c r="Q87" s="22"/>
      <c r="R87" s="23" t="str">
        <f aca="false">IF(OR(F87="",P87=""),"",IF(P87="Cancel",F87,IF(AND(P87="Downgrade",Q87&lt;&gt;""),MAX(F87-Q87,0),0)))</f>
        <v/>
      </c>
      <c r="S87" s="23" t="str">
        <f aca="false">IF(R87="","",R87*12)</f>
        <v/>
      </c>
      <c r="T87" s="29"/>
    </row>
    <row r="88" customFormat="false" ht="15" hidden="false" customHeight="false" outlineLevel="0" collapsed="false">
      <c r="A88" s="21"/>
      <c r="B88" s="21"/>
      <c r="C88" s="21"/>
      <c r="D88" s="22"/>
      <c r="E88" s="21"/>
      <c r="F88" s="23" t="str">
        <f aca="false">IF(D88="","",D88/IFERROR(INDEX(Lists!$D$2:$D$4,MATCH(E88,Lists!$C$2:$C$4,0)),1))</f>
        <v/>
      </c>
      <c r="G88" s="23" t="str">
        <f aca="false">IF(F88="","",F88*12)</f>
        <v/>
      </c>
      <c r="H88" s="24"/>
      <c r="I88" s="25" t="str">
        <f aca="false">IF(H88="","",H88-$B$3)</f>
        <v/>
      </c>
      <c r="J88" s="26" t="str">
        <f aca="false">IF(I88="","",IF(I88&lt;0,"Past - update date",IF(I88=0,"Renews TODAY",IF(I88&lt;=1,"1 day",IF(I88&lt;=3,"3 days",IF(I88&lt;=7,"7 days",IF(I88&lt;=30,"30 days","OK")))))))</f>
        <v/>
      </c>
      <c r="K88" s="24"/>
      <c r="L88" s="25" t="str">
        <f aca="false">IF(K88="","",$B$3-K88)</f>
        <v/>
      </c>
      <c r="M88" s="27"/>
      <c r="N88" s="27"/>
      <c r="O88" s="28" t="str">
        <f aca="false">IF(A88="","",IF(AND(B88&lt;&gt;"",COUNTIF($B$5:$B$104,B88)&gt;1),"Overlap: "&amp;COUNTIF($B$5:$B$104,B88)&amp;" "&amp;B88&amp;" tools. ","")&amp;IF(AND(L88&lt;&gt;"",L88&gt;=14),"Idle "&amp;L88&amp;" days. ","")&amp;IF(AND(M88&lt;&gt;"",N88&lt;&gt;"",M88&gt;N88),M88-N88&amp;" unused seat(s). ",""))</f>
        <v/>
      </c>
      <c r="P88" s="21"/>
      <c r="Q88" s="22"/>
      <c r="R88" s="23" t="str">
        <f aca="false">IF(OR(F88="",P88=""),"",IF(P88="Cancel",F88,IF(AND(P88="Downgrade",Q88&lt;&gt;""),MAX(F88-Q88,0),0)))</f>
        <v/>
      </c>
      <c r="S88" s="23" t="str">
        <f aca="false">IF(R88="","",R88*12)</f>
        <v/>
      </c>
      <c r="T88" s="29"/>
    </row>
    <row r="89" customFormat="false" ht="15" hidden="false" customHeight="false" outlineLevel="0" collapsed="false">
      <c r="A89" s="21"/>
      <c r="B89" s="21"/>
      <c r="C89" s="21"/>
      <c r="D89" s="22"/>
      <c r="E89" s="21"/>
      <c r="F89" s="23" t="str">
        <f aca="false">IF(D89="","",D89/IFERROR(INDEX(Lists!$D$2:$D$4,MATCH(E89,Lists!$C$2:$C$4,0)),1))</f>
        <v/>
      </c>
      <c r="G89" s="23" t="str">
        <f aca="false">IF(F89="","",F89*12)</f>
        <v/>
      </c>
      <c r="H89" s="24"/>
      <c r="I89" s="25" t="str">
        <f aca="false">IF(H89="","",H89-$B$3)</f>
        <v/>
      </c>
      <c r="J89" s="26" t="str">
        <f aca="false">IF(I89="","",IF(I89&lt;0,"Past - update date",IF(I89=0,"Renews TODAY",IF(I89&lt;=1,"1 day",IF(I89&lt;=3,"3 days",IF(I89&lt;=7,"7 days",IF(I89&lt;=30,"30 days","OK")))))))</f>
        <v/>
      </c>
      <c r="K89" s="24"/>
      <c r="L89" s="25" t="str">
        <f aca="false">IF(K89="","",$B$3-K89)</f>
        <v/>
      </c>
      <c r="M89" s="27"/>
      <c r="N89" s="27"/>
      <c r="O89" s="28" t="str">
        <f aca="false">IF(A89="","",IF(AND(B89&lt;&gt;"",COUNTIF($B$5:$B$104,B89)&gt;1),"Overlap: "&amp;COUNTIF($B$5:$B$104,B89)&amp;" "&amp;B89&amp;" tools. ","")&amp;IF(AND(L89&lt;&gt;"",L89&gt;=14),"Idle "&amp;L89&amp;" days. ","")&amp;IF(AND(M89&lt;&gt;"",N89&lt;&gt;"",M89&gt;N89),M89-N89&amp;" unused seat(s). ",""))</f>
        <v/>
      </c>
      <c r="P89" s="21"/>
      <c r="Q89" s="22"/>
      <c r="R89" s="23" t="str">
        <f aca="false">IF(OR(F89="",P89=""),"",IF(P89="Cancel",F89,IF(AND(P89="Downgrade",Q89&lt;&gt;""),MAX(F89-Q89,0),0)))</f>
        <v/>
      </c>
      <c r="S89" s="23" t="str">
        <f aca="false">IF(R89="","",R89*12)</f>
        <v/>
      </c>
      <c r="T89" s="29"/>
    </row>
    <row r="90" customFormat="false" ht="15" hidden="false" customHeight="false" outlineLevel="0" collapsed="false">
      <c r="A90" s="21"/>
      <c r="B90" s="21"/>
      <c r="C90" s="21"/>
      <c r="D90" s="22"/>
      <c r="E90" s="21"/>
      <c r="F90" s="23" t="str">
        <f aca="false">IF(D90="","",D90/IFERROR(INDEX(Lists!$D$2:$D$4,MATCH(E90,Lists!$C$2:$C$4,0)),1))</f>
        <v/>
      </c>
      <c r="G90" s="23" t="str">
        <f aca="false">IF(F90="","",F90*12)</f>
        <v/>
      </c>
      <c r="H90" s="24"/>
      <c r="I90" s="25" t="str">
        <f aca="false">IF(H90="","",H90-$B$3)</f>
        <v/>
      </c>
      <c r="J90" s="26" t="str">
        <f aca="false">IF(I90="","",IF(I90&lt;0,"Past - update date",IF(I90=0,"Renews TODAY",IF(I90&lt;=1,"1 day",IF(I90&lt;=3,"3 days",IF(I90&lt;=7,"7 days",IF(I90&lt;=30,"30 days","OK")))))))</f>
        <v/>
      </c>
      <c r="K90" s="24"/>
      <c r="L90" s="25" t="str">
        <f aca="false">IF(K90="","",$B$3-K90)</f>
        <v/>
      </c>
      <c r="M90" s="27"/>
      <c r="N90" s="27"/>
      <c r="O90" s="28" t="str">
        <f aca="false">IF(A90="","",IF(AND(B90&lt;&gt;"",COUNTIF($B$5:$B$104,B90)&gt;1),"Overlap: "&amp;COUNTIF($B$5:$B$104,B90)&amp;" "&amp;B90&amp;" tools. ","")&amp;IF(AND(L90&lt;&gt;"",L90&gt;=14),"Idle "&amp;L90&amp;" days. ","")&amp;IF(AND(M90&lt;&gt;"",N90&lt;&gt;"",M90&gt;N90),M90-N90&amp;" unused seat(s). ",""))</f>
        <v/>
      </c>
      <c r="P90" s="21"/>
      <c r="Q90" s="22"/>
      <c r="R90" s="23" t="str">
        <f aca="false">IF(OR(F90="",P90=""),"",IF(P90="Cancel",F90,IF(AND(P90="Downgrade",Q90&lt;&gt;""),MAX(F90-Q90,0),0)))</f>
        <v/>
      </c>
      <c r="S90" s="23" t="str">
        <f aca="false">IF(R90="","",R90*12)</f>
        <v/>
      </c>
      <c r="T90" s="29"/>
    </row>
    <row r="91" customFormat="false" ht="15" hidden="false" customHeight="false" outlineLevel="0" collapsed="false">
      <c r="A91" s="21"/>
      <c r="B91" s="21"/>
      <c r="C91" s="21"/>
      <c r="D91" s="22"/>
      <c r="E91" s="21"/>
      <c r="F91" s="23" t="str">
        <f aca="false">IF(D91="","",D91/IFERROR(INDEX(Lists!$D$2:$D$4,MATCH(E91,Lists!$C$2:$C$4,0)),1))</f>
        <v/>
      </c>
      <c r="G91" s="23" t="str">
        <f aca="false">IF(F91="","",F91*12)</f>
        <v/>
      </c>
      <c r="H91" s="24"/>
      <c r="I91" s="25" t="str">
        <f aca="false">IF(H91="","",H91-$B$3)</f>
        <v/>
      </c>
      <c r="J91" s="26" t="str">
        <f aca="false">IF(I91="","",IF(I91&lt;0,"Past - update date",IF(I91=0,"Renews TODAY",IF(I91&lt;=1,"1 day",IF(I91&lt;=3,"3 days",IF(I91&lt;=7,"7 days",IF(I91&lt;=30,"30 days","OK")))))))</f>
        <v/>
      </c>
      <c r="K91" s="24"/>
      <c r="L91" s="25" t="str">
        <f aca="false">IF(K91="","",$B$3-K91)</f>
        <v/>
      </c>
      <c r="M91" s="27"/>
      <c r="N91" s="27"/>
      <c r="O91" s="28" t="str">
        <f aca="false">IF(A91="","",IF(AND(B91&lt;&gt;"",COUNTIF($B$5:$B$104,B91)&gt;1),"Overlap: "&amp;COUNTIF($B$5:$B$104,B91)&amp;" "&amp;B91&amp;" tools. ","")&amp;IF(AND(L91&lt;&gt;"",L91&gt;=14),"Idle "&amp;L91&amp;" days. ","")&amp;IF(AND(M91&lt;&gt;"",N91&lt;&gt;"",M91&gt;N91),M91-N91&amp;" unused seat(s). ",""))</f>
        <v/>
      </c>
      <c r="P91" s="21"/>
      <c r="Q91" s="22"/>
      <c r="R91" s="23" t="str">
        <f aca="false">IF(OR(F91="",P91=""),"",IF(P91="Cancel",F91,IF(AND(P91="Downgrade",Q91&lt;&gt;""),MAX(F91-Q91,0),0)))</f>
        <v/>
      </c>
      <c r="S91" s="23" t="str">
        <f aca="false">IF(R91="","",R91*12)</f>
        <v/>
      </c>
      <c r="T91" s="29"/>
    </row>
    <row r="92" customFormat="false" ht="15" hidden="false" customHeight="false" outlineLevel="0" collapsed="false">
      <c r="A92" s="21"/>
      <c r="B92" s="21"/>
      <c r="C92" s="21"/>
      <c r="D92" s="22"/>
      <c r="E92" s="21"/>
      <c r="F92" s="23" t="str">
        <f aca="false">IF(D92="","",D92/IFERROR(INDEX(Lists!$D$2:$D$4,MATCH(E92,Lists!$C$2:$C$4,0)),1))</f>
        <v/>
      </c>
      <c r="G92" s="23" t="str">
        <f aca="false">IF(F92="","",F92*12)</f>
        <v/>
      </c>
      <c r="H92" s="24"/>
      <c r="I92" s="25" t="str">
        <f aca="false">IF(H92="","",H92-$B$3)</f>
        <v/>
      </c>
      <c r="J92" s="26" t="str">
        <f aca="false">IF(I92="","",IF(I92&lt;0,"Past - update date",IF(I92=0,"Renews TODAY",IF(I92&lt;=1,"1 day",IF(I92&lt;=3,"3 days",IF(I92&lt;=7,"7 days",IF(I92&lt;=30,"30 days","OK")))))))</f>
        <v/>
      </c>
      <c r="K92" s="24"/>
      <c r="L92" s="25" t="str">
        <f aca="false">IF(K92="","",$B$3-K92)</f>
        <v/>
      </c>
      <c r="M92" s="27"/>
      <c r="N92" s="27"/>
      <c r="O92" s="28" t="str">
        <f aca="false">IF(A92="","",IF(AND(B92&lt;&gt;"",COUNTIF($B$5:$B$104,B92)&gt;1),"Overlap: "&amp;COUNTIF($B$5:$B$104,B92)&amp;" "&amp;B92&amp;" tools. ","")&amp;IF(AND(L92&lt;&gt;"",L92&gt;=14),"Idle "&amp;L92&amp;" days. ","")&amp;IF(AND(M92&lt;&gt;"",N92&lt;&gt;"",M92&gt;N92),M92-N92&amp;" unused seat(s). ",""))</f>
        <v/>
      </c>
      <c r="P92" s="21"/>
      <c r="Q92" s="22"/>
      <c r="R92" s="23" t="str">
        <f aca="false">IF(OR(F92="",P92=""),"",IF(P92="Cancel",F92,IF(AND(P92="Downgrade",Q92&lt;&gt;""),MAX(F92-Q92,0),0)))</f>
        <v/>
      </c>
      <c r="S92" s="23" t="str">
        <f aca="false">IF(R92="","",R92*12)</f>
        <v/>
      </c>
      <c r="T92" s="29"/>
    </row>
    <row r="93" customFormat="false" ht="15" hidden="false" customHeight="false" outlineLevel="0" collapsed="false">
      <c r="A93" s="21"/>
      <c r="B93" s="21"/>
      <c r="C93" s="21"/>
      <c r="D93" s="22"/>
      <c r="E93" s="21"/>
      <c r="F93" s="23" t="str">
        <f aca="false">IF(D93="","",D93/IFERROR(INDEX(Lists!$D$2:$D$4,MATCH(E93,Lists!$C$2:$C$4,0)),1))</f>
        <v/>
      </c>
      <c r="G93" s="23" t="str">
        <f aca="false">IF(F93="","",F93*12)</f>
        <v/>
      </c>
      <c r="H93" s="24"/>
      <c r="I93" s="25" t="str">
        <f aca="false">IF(H93="","",H93-$B$3)</f>
        <v/>
      </c>
      <c r="J93" s="26" t="str">
        <f aca="false">IF(I93="","",IF(I93&lt;0,"Past - update date",IF(I93=0,"Renews TODAY",IF(I93&lt;=1,"1 day",IF(I93&lt;=3,"3 days",IF(I93&lt;=7,"7 days",IF(I93&lt;=30,"30 days","OK")))))))</f>
        <v/>
      </c>
      <c r="K93" s="24"/>
      <c r="L93" s="25" t="str">
        <f aca="false">IF(K93="","",$B$3-K93)</f>
        <v/>
      </c>
      <c r="M93" s="27"/>
      <c r="N93" s="27"/>
      <c r="O93" s="28" t="str">
        <f aca="false">IF(A93="","",IF(AND(B93&lt;&gt;"",COUNTIF($B$5:$B$104,B93)&gt;1),"Overlap: "&amp;COUNTIF($B$5:$B$104,B93)&amp;" "&amp;B93&amp;" tools. ","")&amp;IF(AND(L93&lt;&gt;"",L93&gt;=14),"Idle "&amp;L93&amp;" days. ","")&amp;IF(AND(M93&lt;&gt;"",N93&lt;&gt;"",M93&gt;N93),M93-N93&amp;" unused seat(s). ",""))</f>
        <v/>
      </c>
      <c r="P93" s="21"/>
      <c r="Q93" s="22"/>
      <c r="R93" s="23" t="str">
        <f aca="false">IF(OR(F93="",P93=""),"",IF(P93="Cancel",F93,IF(AND(P93="Downgrade",Q93&lt;&gt;""),MAX(F93-Q93,0),0)))</f>
        <v/>
      </c>
      <c r="S93" s="23" t="str">
        <f aca="false">IF(R93="","",R93*12)</f>
        <v/>
      </c>
      <c r="T93" s="29"/>
    </row>
    <row r="94" customFormat="false" ht="15" hidden="false" customHeight="false" outlineLevel="0" collapsed="false">
      <c r="A94" s="21"/>
      <c r="B94" s="21"/>
      <c r="C94" s="21"/>
      <c r="D94" s="22"/>
      <c r="E94" s="21"/>
      <c r="F94" s="23" t="str">
        <f aca="false">IF(D94="","",D94/IFERROR(INDEX(Lists!$D$2:$D$4,MATCH(E94,Lists!$C$2:$C$4,0)),1))</f>
        <v/>
      </c>
      <c r="G94" s="23" t="str">
        <f aca="false">IF(F94="","",F94*12)</f>
        <v/>
      </c>
      <c r="H94" s="24"/>
      <c r="I94" s="25" t="str">
        <f aca="false">IF(H94="","",H94-$B$3)</f>
        <v/>
      </c>
      <c r="J94" s="26" t="str">
        <f aca="false">IF(I94="","",IF(I94&lt;0,"Past - update date",IF(I94=0,"Renews TODAY",IF(I94&lt;=1,"1 day",IF(I94&lt;=3,"3 days",IF(I94&lt;=7,"7 days",IF(I94&lt;=30,"30 days","OK")))))))</f>
        <v/>
      </c>
      <c r="K94" s="24"/>
      <c r="L94" s="25" t="str">
        <f aca="false">IF(K94="","",$B$3-K94)</f>
        <v/>
      </c>
      <c r="M94" s="27"/>
      <c r="N94" s="27"/>
      <c r="O94" s="28" t="str">
        <f aca="false">IF(A94="","",IF(AND(B94&lt;&gt;"",COUNTIF($B$5:$B$104,B94)&gt;1),"Overlap: "&amp;COUNTIF($B$5:$B$104,B94)&amp;" "&amp;B94&amp;" tools. ","")&amp;IF(AND(L94&lt;&gt;"",L94&gt;=14),"Idle "&amp;L94&amp;" days. ","")&amp;IF(AND(M94&lt;&gt;"",N94&lt;&gt;"",M94&gt;N94),M94-N94&amp;" unused seat(s). ",""))</f>
        <v/>
      </c>
      <c r="P94" s="21"/>
      <c r="Q94" s="22"/>
      <c r="R94" s="23" t="str">
        <f aca="false">IF(OR(F94="",P94=""),"",IF(P94="Cancel",F94,IF(AND(P94="Downgrade",Q94&lt;&gt;""),MAX(F94-Q94,0),0)))</f>
        <v/>
      </c>
      <c r="S94" s="23" t="str">
        <f aca="false">IF(R94="","",R94*12)</f>
        <v/>
      </c>
      <c r="T94" s="29"/>
    </row>
    <row r="95" customFormat="false" ht="15" hidden="false" customHeight="false" outlineLevel="0" collapsed="false">
      <c r="A95" s="21"/>
      <c r="B95" s="21"/>
      <c r="C95" s="21"/>
      <c r="D95" s="22"/>
      <c r="E95" s="21"/>
      <c r="F95" s="23" t="str">
        <f aca="false">IF(D95="","",D95/IFERROR(INDEX(Lists!$D$2:$D$4,MATCH(E95,Lists!$C$2:$C$4,0)),1))</f>
        <v/>
      </c>
      <c r="G95" s="23" t="str">
        <f aca="false">IF(F95="","",F95*12)</f>
        <v/>
      </c>
      <c r="H95" s="24"/>
      <c r="I95" s="25" t="str">
        <f aca="false">IF(H95="","",H95-$B$3)</f>
        <v/>
      </c>
      <c r="J95" s="26" t="str">
        <f aca="false">IF(I95="","",IF(I95&lt;0,"Past - update date",IF(I95=0,"Renews TODAY",IF(I95&lt;=1,"1 day",IF(I95&lt;=3,"3 days",IF(I95&lt;=7,"7 days",IF(I95&lt;=30,"30 days","OK")))))))</f>
        <v/>
      </c>
      <c r="K95" s="24"/>
      <c r="L95" s="25" t="str">
        <f aca="false">IF(K95="","",$B$3-K95)</f>
        <v/>
      </c>
      <c r="M95" s="27"/>
      <c r="N95" s="27"/>
      <c r="O95" s="28" t="str">
        <f aca="false">IF(A95="","",IF(AND(B95&lt;&gt;"",COUNTIF($B$5:$B$104,B95)&gt;1),"Overlap: "&amp;COUNTIF($B$5:$B$104,B95)&amp;" "&amp;B95&amp;" tools. ","")&amp;IF(AND(L95&lt;&gt;"",L95&gt;=14),"Idle "&amp;L95&amp;" days. ","")&amp;IF(AND(M95&lt;&gt;"",N95&lt;&gt;"",M95&gt;N95),M95-N95&amp;" unused seat(s). ",""))</f>
        <v/>
      </c>
      <c r="P95" s="21"/>
      <c r="Q95" s="22"/>
      <c r="R95" s="23" t="str">
        <f aca="false">IF(OR(F95="",P95=""),"",IF(P95="Cancel",F95,IF(AND(P95="Downgrade",Q95&lt;&gt;""),MAX(F95-Q95,0),0)))</f>
        <v/>
      </c>
      <c r="S95" s="23" t="str">
        <f aca="false">IF(R95="","",R95*12)</f>
        <v/>
      </c>
      <c r="T95" s="29"/>
    </row>
    <row r="96" customFormat="false" ht="15" hidden="false" customHeight="false" outlineLevel="0" collapsed="false">
      <c r="A96" s="21"/>
      <c r="B96" s="21"/>
      <c r="C96" s="21"/>
      <c r="D96" s="22"/>
      <c r="E96" s="21"/>
      <c r="F96" s="23" t="str">
        <f aca="false">IF(D96="","",D96/IFERROR(INDEX(Lists!$D$2:$D$4,MATCH(E96,Lists!$C$2:$C$4,0)),1))</f>
        <v/>
      </c>
      <c r="G96" s="23" t="str">
        <f aca="false">IF(F96="","",F96*12)</f>
        <v/>
      </c>
      <c r="H96" s="24"/>
      <c r="I96" s="25" t="str">
        <f aca="false">IF(H96="","",H96-$B$3)</f>
        <v/>
      </c>
      <c r="J96" s="26" t="str">
        <f aca="false">IF(I96="","",IF(I96&lt;0,"Past - update date",IF(I96=0,"Renews TODAY",IF(I96&lt;=1,"1 day",IF(I96&lt;=3,"3 days",IF(I96&lt;=7,"7 days",IF(I96&lt;=30,"30 days","OK")))))))</f>
        <v/>
      </c>
      <c r="K96" s="24"/>
      <c r="L96" s="25" t="str">
        <f aca="false">IF(K96="","",$B$3-K96)</f>
        <v/>
      </c>
      <c r="M96" s="27"/>
      <c r="N96" s="27"/>
      <c r="O96" s="28" t="str">
        <f aca="false">IF(A96="","",IF(AND(B96&lt;&gt;"",COUNTIF($B$5:$B$104,B96)&gt;1),"Overlap: "&amp;COUNTIF($B$5:$B$104,B96)&amp;" "&amp;B96&amp;" tools. ","")&amp;IF(AND(L96&lt;&gt;"",L96&gt;=14),"Idle "&amp;L96&amp;" days. ","")&amp;IF(AND(M96&lt;&gt;"",N96&lt;&gt;"",M96&gt;N96),M96-N96&amp;" unused seat(s). ",""))</f>
        <v/>
      </c>
      <c r="P96" s="21"/>
      <c r="Q96" s="22"/>
      <c r="R96" s="23" t="str">
        <f aca="false">IF(OR(F96="",P96=""),"",IF(P96="Cancel",F96,IF(AND(P96="Downgrade",Q96&lt;&gt;""),MAX(F96-Q96,0),0)))</f>
        <v/>
      </c>
      <c r="S96" s="23" t="str">
        <f aca="false">IF(R96="","",R96*12)</f>
        <v/>
      </c>
      <c r="T96" s="29"/>
    </row>
    <row r="97" customFormat="false" ht="15" hidden="false" customHeight="false" outlineLevel="0" collapsed="false">
      <c r="A97" s="21"/>
      <c r="B97" s="21"/>
      <c r="C97" s="21"/>
      <c r="D97" s="22"/>
      <c r="E97" s="21"/>
      <c r="F97" s="23" t="str">
        <f aca="false">IF(D97="","",D97/IFERROR(INDEX(Lists!$D$2:$D$4,MATCH(E97,Lists!$C$2:$C$4,0)),1))</f>
        <v/>
      </c>
      <c r="G97" s="23" t="str">
        <f aca="false">IF(F97="","",F97*12)</f>
        <v/>
      </c>
      <c r="H97" s="24"/>
      <c r="I97" s="25" t="str">
        <f aca="false">IF(H97="","",H97-$B$3)</f>
        <v/>
      </c>
      <c r="J97" s="26" t="str">
        <f aca="false">IF(I97="","",IF(I97&lt;0,"Past - update date",IF(I97=0,"Renews TODAY",IF(I97&lt;=1,"1 day",IF(I97&lt;=3,"3 days",IF(I97&lt;=7,"7 days",IF(I97&lt;=30,"30 days","OK")))))))</f>
        <v/>
      </c>
      <c r="K97" s="24"/>
      <c r="L97" s="25" t="str">
        <f aca="false">IF(K97="","",$B$3-K97)</f>
        <v/>
      </c>
      <c r="M97" s="27"/>
      <c r="N97" s="27"/>
      <c r="O97" s="28" t="str">
        <f aca="false">IF(A97="","",IF(AND(B97&lt;&gt;"",COUNTIF($B$5:$B$104,B97)&gt;1),"Overlap: "&amp;COUNTIF($B$5:$B$104,B97)&amp;" "&amp;B97&amp;" tools. ","")&amp;IF(AND(L97&lt;&gt;"",L97&gt;=14),"Idle "&amp;L97&amp;" days. ","")&amp;IF(AND(M97&lt;&gt;"",N97&lt;&gt;"",M97&gt;N97),M97-N97&amp;" unused seat(s). ",""))</f>
        <v/>
      </c>
      <c r="P97" s="21"/>
      <c r="Q97" s="22"/>
      <c r="R97" s="23" t="str">
        <f aca="false">IF(OR(F97="",P97=""),"",IF(P97="Cancel",F97,IF(AND(P97="Downgrade",Q97&lt;&gt;""),MAX(F97-Q97,0),0)))</f>
        <v/>
      </c>
      <c r="S97" s="23" t="str">
        <f aca="false">IF(R97="","",R97*12)</f>
        <v/>
      </c>
      <c r="T97" s="29"/>
    </row>
    <row r="98" customFormat="false" ht="15" hidden="false" customHeight="false" outlineLevel="0" collapsed="false">
      <c r="A98" s="21"/>
      <c r="B98" s="21"/>
      <c r="C98" s="21"/>
      <c r="D98" s="22"/>
      <c r="E98" s="21"/>
      <c r="F98" s="23" t="str">
        <f aca="false">IF(D98="","",D98/IFERROR(INDEX(Lists!$D$2:$D$4,MATCH(E98,Lists!$C$2:$C$4,0)),1))</f>
        <v/>
      </c>
      <c r="G98" s="23" t="str">
        <f aca="false">IF(F98="","",F98*12)</f>
        <v/>
      </c>
      <c r="H98" s="24"/>
      <c r="I98" s="25" t="str">
        <f aca="false">IF(H98="","",H98-$B$3)</f>
        <v/>
      </c>
      <c r="J98" s="26" t="str">
        <f aca="false">IF(I98="","",IF(I98&lt;0,"Past - update date",IF(I98=0,"Renews TODAY",IF(I98&lt;=1,"1 day",IF(I98&lt;=3,"3 days",IF(I98&lt;=7,"7 days",IF(I98&lt;=30,"30 days","OK")))))))</f>
        <v/>
      </c>
      <c r="K98" s="24"/>
      <c r="L98" s="25" t="str">
        <f aca="false">IF(K98="","",$B$3-K98)</f>
        <v/>
      </c>
      <c r="M98" s="27"/>
      <c r="N98" s="27"/>
      <c r="O98" s="28" t="str">
        <f aca="false">IF(A98="","",IF(AND(B98&lt;&gt;"",COUNTIF($B$5:$B$104,B98)&gt;1),"Overlap: "&amp;COUNTIF($B$5:$B$104,B98)&amp;" "&amp;B98&amp;" tools. ","")&amp;IF(AND(L98&lt;&gt;"",L98&gt;=14),"Idle "&amp;L98&amp;" days. ","")&amp;IF(AND(M98&lt;&gt;"",N98&lt;&gt;"",M98&gt;N98),M98-N98&amp;" unused seat(s). ",""))</f>
        <v/>
      </c>
      <c r="P98" s="21"/>
      <c r="Q98" s="22"/>
      <c r="R98" s="23" t="str">
        <f aca="false">IF(OR(F98="",P98=""),"",IF(P98="Cancel",F98,IF(AND(P98="Downgrade",Q98&lt;&gt;""),MAX(F98-Q98,0),0)))</f>
        <v/>
      </c>
      <c r="S98" s="23" t="str">
        <f aca="false">IF(R98="","",R98*12)</f>
        <v/>
      </c>
      <c r="T98" s="29"/>
    </row>
    <row r="99" customFormat="false" ht="15" hidden="false" customHeight="false" outlineLevel="0" collapsed="false">
      <c r="A99" s="21"/>
      <c r="B99" s="21"/>
      <c r="C99" s="21"/>
      <c r="D99" s="22"/>
      <c r="E99" s="21"/>
      <c r="F99" s="23" t="str">
        <f aca="false">IF(D99="","",D99/IFERROR(INDEX(Lists!$D$2:$D$4,MATCH(E99,Lists!$C$2:$C$4,0)),1))</f>
        <v/>
      </c>
      <c r="G99" s="23" t="str">
        <f aca="false">IF(F99="","",F99*12)</f>
        <v/>
      </c>
      <c r="H99" s="24"/>
      <c r="I99" s="25" t="str">
        <f aca="false">IF(H99="","",H99-$B$3)</f>
        <v/>
      </c>
      <c r="J99" s="26" t="str">
        <f aca="false">IF(I99="","",IF(I99&lt;0,"Past - update date",IF(I99=0,"Renews TODAY",IF(I99&lt;=1,"1 day",IF(I99&lt;=3,"3 days",IF(I99&lt;=7,"7 days",IF(I99&lt;=30,"30 days","OK")))))))</f>
        <v/>
      </c>
      <c r="K99" s="24"/>
      <c r="L99" s="25" t="str">
        <f aca="false">IF(K99="","",$B$3-K99)</f>
        <v/>
      </c>
      <c r="M99" s="27"/>
      <c r="N99" s="27"/>
      <c r="O99" s="28" t="str">
        <f aca="false">IF(A99="","",IF(AND(B99&lt;&gt;"",COUNTIF($B$5:$B$104,B99)&gt;1),"Overlap: "&amp;COUNTIF($B$5:$B$104,B99)&amp;" "&amp;B99&amp;" tools. ","")&amp;IF(AND(L99&lt;&gt;"",L99&gt;=14),"Idle "&amp;L99&amp;" days. ","")&amp;IF(AND(M99&lt;&gt;"",N99&lt;&gt;"",M99&gt;N99),M99-N99&amp;" unused seat(s). ",""))</f>
        <v/>
      </c>
      <c r="P99" s="21"/>
      <c r="Q99" s="22"/>
      <c r="R99" s="23" t="str">
        <f aca="false">IF(OR(F99="",P99=""),"",IF(P99="Cancel",F99,IF(AND(P99="Downgrade",Q99&lt;&gt;""),MAX(F99-Q99,0),0)))</f>
        <v/>
      </c>
      <c r="S99" s="23" t="str">
        <f aca="false">IF(R99="","",R99*12)</f>
        <v/>
      </c>
      <c r="T99" s="29"/>
    </row>
    <row r="100" customFormat="false" ht="15" hidden="false" customHeight="false" outlineLevel="0" collapsed="false">
      <c r="A100" s="21"/>
      <c r="B100" s="21"/>
      <c r="C100" s="21"/>
      <c r="D100" s="22"/>
      <c r="E100" s="21"/>
      <c r="F100" s="23" t="str">
        <f aca="false">IF(D100="","",D100/IFERROR(INDEX(Lists!$D$2:$D$4,MATCH(E100,Lists!$C$2:$C$4,0)),1))</f>
        <v/>
      </c>
      <c r="G100" s="23" t="str">
        <f aca="false">IF(F100="","",F100*12)</f>
        <v/>
      </c>
      <c r="H100" s="24"/>
      <c r="I100" s="25" t="str">
        <f aca="false">IF(H100="","",H100-$B$3)</f>
        <v/>
      </c>
      <c r="J100" s="26" t="str">
        <f aca="false">IF(I100="","",IF(I100&lt;0,"Past - update date",IF(I100=0,"Renews TODAY",IF(I100&lt;=1,"1 day",IF(I100&lt;=3,"3 days",IF(I100&lt;=7,"7 days",IF(I100&lt;=30,"30 days","OK")))))))</f>
        <v/>
      </c>
      <c r="K100" s="24"/>
      <c r="L100" s="25" t="str">
        <f aca="false">IF(K100="","",$B$3-K100)</f>
        <v/>
      </c>
      <c r="M100" s="27"/>
      <c r="N100" s="27"/>
      <c r="O100" s="28" t="str">
        <f aca="false">IF(A100="","",IF(AND(B100&lt;&gt;"",COUNTIF($B$5:$B$104,B100)&gt;1),"Overlap: "&amp;COUNTIF($B$5:$B$104,B100)&amp;" "&amp;B100&amp;" tools. ","")&amp;IF(AND(L100&lt;&gt;"",L100&gt;=14),"Idle "&amp;L100&amp;" days. ","")&amp;IF(AND(M100&lt;&gt;"",N100&lt;&gt;"",M100&gt;N100),M100-N100&amp;" unused seat(s). ",""))</f>
        <v/>
      </c>
      <c r="P100" s="21"/>
      <c r="Q100" s="22"/>
      <c r="R100" s="23" t="str">
        <f aca="false">IF(OR(F100="",P100=""),"",IF(P100="Cancel",F100,IF(AND(P100="Downgrade",Q100&lt;&gt;""),MAX(F100-Q100,0),0)))</f>
        <v/>
      </c>
      <c r="S100" s="23" t="str">
        <f aca="false">IF(R100="","",R100*12)</f>
        <v/>
      </c>
      <c r="T100" s="29"/>
    </row>
    <row r="101" customFormat="false" ht="15" hidden="false" customHeight="false" outlineLevel="0" collapsed="false">
      <c r="A101" s="21"/>
      <c r="B101" s="21"/>
      <c r="C101" s="21"/>
      <c r="D101" s="22"/>
      <c r="E101" s="21"/>
      <c r="F101" s="23" t="str">
        <f aca="false">IF(D101="","",D101/IFERROR(INDEX(Lists!$D$2:$D$4,MATCH(E101,Lists!$C$2:$C$4,0)),1))</f>
        <v/>
      </c>
      <c r="G101" s="23" t="str">
        <f aca="false">IF(F101="","",F101*12)</f>
        <v/>
      </c>
      <c r="H101" s="24"/>
      <c r="I101" s="25" t="str">
        <f aca="false">IF(H101="","",H101-$B$3)</f>
        <v/>
      </c>
      <c r="J101" s="26" t="str">
        <f aca="false">IF(I101="","",IF(I101&lt;0,"Past - update date",IF(I101=0,"Renews TODAY",IF(I101&lt;=1,"1 day",IF(I101&lt;=3,"3 days",IF(I101&lt;=7,"7 days",IF(I101&lt;=30,"30 days","OK")))))))</f>
        <v/>
      </c>
      <c r="K101" s="24"/>
      <c r="L101" s="25" t="str">
        <f aca="false">IF(K101="","",$B$3-K101)</f>
        <v/>
      </c>
      <c r="M101" s="27"/>
      <c r="N101" s="27"/>
      <c r="O101" s="28" t="str">
        <f aca="false">IF(A101="","",IF(AND(B101&lt;&gt;"",COUNTIF($B$5:$B$104,B101)&gt;1),"Overlap: "&amp;COUNTIF($B$5:$B$104,B101)&amp;" "&amp;B101&amp;" tools. ","")&amp;IF(AND(L101&lt;&gt;"",L101&gt;=14),"Idle "&amp;L101&amp;" days. ","")&amp;IF(AND(M101&lt;&gt;"",N101&lt;&gt;"",M101&gt;N101),M101-N101&amp;" unused seat(s). ",""))</f>
        <v/>
      </c>
      <c r="P101" s="21"/>
      <c r="Q101" s="22"/>
      <c r="R101" s="23" t="str">
        <f aca="false">IF(OR(F101="",P101=""),"",IF(P101="Cancel",F101,IF(AND(P101="Downgrade",Q101&lt;&gt;""),MAX(F101-Q101,0),0)))</f>
        <v/>
      </c>
      <c r="S101" s="23" t="str">
        <f aca="false">IF(R101="","",R101*12)</f>
        <v/>
      </c>
      <c r="T101" s="29"/>
    </row>
    <row r="102" customFormat="false" ht="15" hidden="false" customHeight="false" outlineLevel="0" collapsed="false">
      <c r="A102" s="21"/>
      <c r="B102" s="21"/>
      <c r="C102" s="21"/>
      <c r="D102" s="22"/>
      <c r="E102" s="21"/>
      <c r="F102" s="23" t="str">
        <f aca="false">IF(D102="","",D102/IFERROR(INDEX(Lists!$D$2:$D$4,MATCH(E102,Lists!$C$2:$C$4,0)),1))</f>
        <v/>
      </c>
      <c r="G102" s="23" t="str">
        <f aca="false">IF(F102="","",F102*12)</f>
        <v/>
      </c>
      <c r="H102" s="24"/>
      <c r="I102" s="25" t="str">
        <f aca="false">IF(H102="","",H102-$B$3)</f>
        <v/>
      </c>
      <c r="J102" s="26" t="str">
        <f aca="false">IF(I102="","",IF(I102&lt;0,"Past - update date",IF(I102=0,"Renews TODAY",IF(I102&lt;=1,"1 day",IF(I102&lt;=3,"3 days",IF(I102&lt;=7,"7 days",IF(I102&lt;=30,"30 days","OK")))))))</f>
        <v/>
      </c>
      <c r="K102" s="24"/>
      <c r="L102" s="25" t="str">
        <f aca="false">IF(K102="","",$B$3-K102)</f>
        <v/>
      </c>
      <c r="M102" s="27"/>
      <c r="N102" s="27"/>
      <c r="O102" s="28" t="str">
        <f aca="false">IF(A102="","",IF(AND(B102&lt;&gt;"",COUNTIF($B$5:$B$104,B102)&gt;1),"Overlap: "&amp;COUNTIF($B$5:$B$104,B102)&amp;" "&amp;B102&amp;" tools. ","")&amp;IF(AND(L102&lt;&gt;"",L102&gt;=14),"Idle "&amp;L102&amp;" days. ","")&amp;IF(AND(M102&lt;&gt;"",N102&lt;&gt;"",M102&gt;N102),M102-N102&amp;" unused seat(s). ",""))</f>
        <v/>
      </c>
      <c r="P102" s="21"/>
      <c r="Q102" s="22"/>
      <c r="R102" s="23" t="str">
        <f aca="false">IF(OR(F102="",P102=""),"",IF(P102="Cancel",F102,IF(AND(P102="Downgrade",Q102&lt;&gt;""),MAX(F102-Q102,0),0)))</f>
        <v/>
      </c>
      <c r="S102" s="23" t="str">
        <f aca="false">IF(R102="","",R102*12)</f>
        <v/>
      </c>
      <c r="T102" s="29"/>
    </row>
    <row r="103" customFormat="false" ht="15" hidden="false" customHeight="false" outlineLevel="0" collapsed="false">
      <c r="A103" s="21"/>
      <c r="B103" s="21"/>
      <c r="C103" s="21"/>
      <c r="D103" s="22"/>
      <c r="E103" s="21"/>
      <c r="F103" s="23" t="str">
        <f aca="false">IF(D103="","",D103/IFERROR(INDEX(Lists!$D$2:$D$4,MATCH(E103,Lists!$C$2:$C$4,0)),1))</f>
        <v/>
      </c>
      <c r="G103" s="23" t="str">
        <f aca="false">IF(F103="","",F103*12)</f>
        <v/>
      </c>
      <c r="H103" s="24"/>
      <c r="I103" s="25" t="str">
        <f aca="false">IF(H103="","",H103-$B$3)</f>
        <v/>
      </c>
      <c r="J103" s="26" t="str">
        <f aca="false">IF(I103="","",IF(I103&lt;0,"Past - update date",IF(I103=0,"Renews TODAY",IF(I103&lt;=1,"1 day",IF(I103&lt;=3,"3 days",IF(I103&lt;=7,"7 days",IF(I103&lt;=30,"30 days","OK")))))))</f>
        <v/>
      </c>
      <c r="K103" s="24"/>
      <c r="L103" s="25" t="str">
        <f aca="false">IF(K103="","",$B$3-K103)</f>
        <v/>
      </c>
      <c r="M103" s="27"/>
      <c r="N103" s="27"/>
      <c r="O103" s="28" t="str">
        <f aca="false">IF(A103="","",IF(AND(B103&lt;&gt;"",COUNTIF($B$5:$B$104,B103)&gt;1),"Overlap: "&amp;COUNTIF($B$5:$B$104,B103)&amp;" "&amp;B103&amp;" tools. ","")&amp;IF(AND(L103&lt;&gt;"",L103&gt;=14),"Idle "&amp;L103&amp;" days. ","")&amp;IF(AND(M103&lt;&gt;"",N103&lt;&gt;"",M103&gt;N103),M103-N103&amp;" unused seat(s). ",""))</f>
        <v/>
      </c>
      <c r="P103" s="21"/>
      <c r="Q103" s="22"/>
      <c r="R103" s="23" t="str">
        <f aca="false">IF(OR(F103="",P103=""),"",IF(P103="Cancel",F103,IF(AND(P103="Downgrade",Q103&lt;&gt;""),MAX(F103-Q103,0),0)))</f>
        <v/>
      </c>
      <c r="S103" s="23" t="str">
        <f aca="false">IF(R103="","",R103*12)</f>
        <v/>
      </c>
      <c r="T103" s="29"/>
    </row>
    <row r="104" customFormat="false" ht="15" hidden="false" customHeight="false" outlineLevel="0" collapsed="false">
      <c r="A104" s="21"/>
      <c r="B104" s="21"/>
      <c r="C104" s="21"/>
      <c r="D104" s="22"/>
      <c r="E104" s="21"/>
      <c r="F104" s="23" t="str">
        <f aca="false">IF(D104="","",D104/IFERROR(INDEX(Lists!$D$2:$D$4,MATCH(E104,Lists!$C$2:$C$4,0)),1))</f>
        <v/>
      </c>
      <c r="G104" s="23" t="str">
        <f aca="false">IF(F104="","",F104*12)</f>
        <v/>
      </c>
      <c r="H104" s="24"/>
      <c r="I104" s="25" t="str">
        <f aca="false">IF(H104="","",H104-$B$3)</f>
        <v/>
      </c>
      <c r="J104" s="26" t="str">
        <f aca="false">IF(I104="","",IF(I104&lt;0,"Past - update date",IF(I104=0,"Renews TODAY",IF(I104&lt;=1,"1 day",IF(I104&lt;=3,"3 days",IF(I104&lt;=7,"7 days",IF(I104&lt;=30,"30 days","OK")))))))</f>
        <v/>
      </c>
      <c r="K104" s="24"/>
      <c r="L104" s="25" t="str">
        <f aca="false">IF(K104="","",$B$3-K104)</f>
        <v/>
      </c>
      <c r="M104" s="27"/>
      <c r="N104" s="27"/>
      <c r="O104" s="28" t="str">
        <f aca="false">IF(A104="","",IF(AND(B104&lt;&gt;"",COUNTIF($B$5:$B$104,B104)&gt;1),"Overlap: "&amp;COUNTIF($B$5:$B$104,B104)&amp;" "&amp;B104&amp;" tools. ","")&amp;IF(AND(L104&lt;&gt;"",L104&gt;=14),"Idle "&amp;L104&amp;" days. ","")&amp;IF(AND(M104&lt;&gt;"",N104&lt;&gt;"",M104&gt;N104),M104-N104&amp;" unused seat(s). ",""))</f>
        <v/>
      </c>
      <c r="P104" s="21"/>
      <c r="Q104" s="22"/>
      <c r="R104" s="23" t="str">
        <f aca="false">IF(OR(F104="",P104=""),"",IF(P104="Cancel",F104,IF(AND(P104="Downgrade",Q104&lt;&gt;""),MAX(F104-Q104,0),0)))</f>
        <v/>
      </c>
      <c r="S104" s="23" t="str">
        <f aca="false">IF(R104="","",R104*12)</f>
        <v/>
      </c>
      <c r="T104" s="29"/>
    </row>
  </sheetData>
  <conditionalFormatting sqref="J5:J104">
    <cfRule type="expression" priority="2" aboveAverage="0" equalAverage="0" bottom="0" percent="0" rank="0" text="" dxfId="0">
      <formula>AND(ISNUMBER(I5),I5&lt;=3)</formula>
    </cfRule>
    <cfRule type="expression" priority="3" aboveAverage="0" equalAverage="0" bottom="0" percent="0" rank="0" text="" dxfId="1">
      <formula>AND(ISNUMBER(I5),I5&gt;3,I5&lt;=30)</formula>
    </cfRule>
  </conditionalFormatting>
  <conditionalFormatting sqref="O5:O104">
    <cfRule type="expression" priority="4" aboveAverage="0" equalAverage="0" bottom="0" percent="0" rank="0" text="" dxfId="2">
      <formula>LEN(O5)&gt;0</formula>
    </cfRule>
  </conditionalFormatting>
  <dataValidations count="3">
    <dataValidation allowBlank="true" errorStyle="stop" operator="between" showDropDown="false" showErrorMessage="false" showInputMessage="false" sqref="B5:B104" type="list">
      <formula1>Lists!$A$2:$A$16</formula1>
      <formula2>0</formula2>
    </dataValidation>
    <dataValidation allowBlank="true" errorStyle="stop" operator="between" showDropDown="false" showErrorMessage="false" showInputMessage="false" sqref="E5:E104" type="list">
      <formula1>Lists!$C$2:$C$4</formula1>
      <formula2>0</formula2>
    </dataValidation>
    <dataValidation allowBlank="true" errorStyle="stop" operator="between" showDropDown="false" showErrorMessage="false" showInputMessage="false" sqref="P5:P104" type="list">
      <formula1>Lists!$F$2:$F$5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8" t="s">
        <v>64</v>
      </c>
    </row>
    <row r="2" customFormat="false" ht="15" hidden="false" customHeight="false" outlineLevel="0" collapsed="false">
      <c r="A2" s="9" t="s">
        <v>65</v>
      </c>
    </row>
    <row r="4" customFormat="false" ht="15" hidden="false" customHeight="false" outlineLevel="0" collapsed="false">
      <c r="A4" s="30" t="s">
        <v>39</v>
      </c>
      <c r="B4" s="30" t="s">
        <v>66</v>
      </c>
      <c r="C4" s="30" t="s">
        <v>67</v>
      </c>
      <c r="D4" s="30" t="s">
        <v>68</v>
      </c>
      <c r="E4" s="30" t="s">
        <v>69</v>
      </c>
    </row>
    <row r="5" customFormat="false" ht="15" hidden="false" customHeight="false" outlineLevel="0" collapsed="false">
      <c r="A5" s="31" t="str">
        <f aca="false">Lists!A2</f>
        <v>AI tools</v>
      </c>
      <c r="B5" s="32" t="n">
        <f aca="false">COUNTIF(Inventory!$B$5:$B$104,A5)</f>
        <v>0</v>
      </c>
      <c r="C5" s="33" t="n">
        <f aca="false">SUMIF(Inventory!$B$5:$B$104,A5,Inventory!$F$5:$F$104)</f>
        <v>0</v>
      </c>
      <c r="D5" s="33" t="n">
        <f aca="false">C5*12</f>
        <v>0</v>
      </c>
      <c r="E5" s="32" t="str">
        <f aca="false">IF(B5&gt;1,"Overlap - review","")</f>
        <v/>
      </c>
    </row>
    <row r="6" customFormat="false" ht="15" hidden="false" customHeight="false" outlineLevel="0" collapsed="false">
      <c r="A6" s="31" t="str">
        <f aca="false">Lists!A3</f>
        <v>Analytics</v>
      </c>
      <c r="B6" s="32" t="n">
        <f aca="false">COUNTIF(Inventory!$B$5:$B$104,A6)</f>
        <v>0</v>
      </c>
      <c r="C6" s="33" t="n">
        <f aca="false">SUMIF(Inventory!$B$5:$B$104,A6,Inventory!$F$5:$F$104)</f>
        <v>0</v>
      </c>
      <c r="D6" s="33" t="n">
        <f aca="false">C6*12</f>
        <v>0</v>
      </c>
      <c r="E6" s="32" t="str">
        <f aca="false">IF(B6&gt;1,"Overlap - review","")</f>
        <v/>
      </c>
    </row>
    <row r="7" customFormat="false" ht="15" hidden="false" customHeight="false" outlineLevel="0" collapsed="false">
      <c r="A7" s="31" t="str">
        <f aca="false">Lists!A4</f>
        <v>Automation</v>
      </c>
      <c r="B7" s="32" t="n">
        <f aca="false">COUNTIF(Inventory!$B$5:$B$104,A7)</f>
        <v>0</v>
      </c>
      <c r="C7" s="33" t="n">
        <f aca="false">SUMIF(Inventory!$B$5:$B$104,A7,Inventory!$F$5:$F$104)</f>
        <v>0</v>
      </c>
      <c r="D7" s="33" t="n">
        <f aca="false">C7*12</f>
        <v>0</v>
      </c>
      <c r="E7" s="32" t="str">
        <f aca="false">IF(B7&gt;1,"Overlap - review","")</f>
        <v/>
      </c>
    </row>
    <row r="8" customFormat="false" ht="15" hidden="false" customHeight="false" outlineLevel="0" collapsed="false">
      <c r="A8" s="31" t="str">
        <f aca="false">Lists!A5</f>
        <v>Cloud storage</v>
      </c>
      <c r="B8" s="32" t="n">
        <f aca="false">COUNTIF(Inventory!$B$5:$B$104,A8)</f>
        <v>0</v>
      </c>
      <c r="C8" s="33" t="n">
        <f aca="false">SUMIF(Inventory!$B$5:$B$104,A8,Inventory!$F$5:$F$104)</f>
        <v>0</v>
      </c>
      <c r="D8" s="33" t="n">
        <f aca="false">C8*12</f>
        <v>0</v>
      </c>
      <c r="E8" s="32" t="str">
        <f aca="false">IF(B8&gt;1,"Overlap - review","")</f>
        <v/>
      </c>
    </row>
    <row r="9" customFormat="false" ht="15" hidden="false" customHeight="false" outlineLevel="0" collapsed="false">
      <c r="A9" s="31" t="str">
        <f aca="false">Lists!A6</f>
        <v>Communication</v>
      </c>
      <c r="B9" s="32" t="n">
        <f aca="false">COUNTIF(Inventory!$B$5:$B$104,A9)</f>
        <v>0</v>
      </c>
      <c r="C9" s="33" t="n">
        <f aca="false">SUMIF(Inventory!$B$5:$B$104,A9,Inventory!$F$5:$F$104)</f>
        <v>0</v>
      </c>
      <c r="D9" s="33" t="n">
        <f aca="false">C9*12</f>
        <v>0</v>
      </c>
      <c r="E9" s="32" t="str">
        <f aca="false">IF(B9&gt;1,"Overlap - review","")</f>
        <v/>
      </c>
    </row>
    <row r="10" customFormat="false" ht="15" hidden="false" customHeight="false" outlineLevel="0" collapsed="false">
      <c r="A10" s="31" t="str">
        <f aca="false">Lists!A7</f>
        <v>CRM</v>
      </c>
      <c r="B10" s="32" t="n">
        <f aca="false">COUNTIF(Inventory!$B$5:$B$104,A10)</f>
        <v>0</v>
      </c>
      <c r="C10" s="33" t="n">
        <f aca="false">SUMIF(Inventory!$B$5:$B$104,A10,Inventory!$F$5:$F$104)</f>
        <v>0</v>
      </c>
      <c r="D10" s="33" t="n">
        <f aca="false">C10*12</f>
        <v>0</v>
      </c>
      <c r="E10" s="32" t="str">
        <f aca="false">IF(B10&gt;1,"Overlap - review","")</f>
        <v/>
      </c>
    </row>
    <row r="11" customFormat="false" ht="15" hidden="false" customHeight="false" outlineLevel="0" collapsed="false">
      <c r="A11" s="31" t="str">
        <f aca="false">Lists!A8</f>
        <v>Design</v>
      </c>
      <c r="B11" s="32" t="n">
        <f aca="false">COUNTIF(Inventory!$B$5:$B$104,A11)</f>
        <v>1</v>
      </c>
      <c r="C11" s="33" t="n">
        <f aca="false">SUMIF(Inventory!$B$5:$B$104,A11,Inventory!$F$5:$F$104)</f>
        <v>10</v>
      </c>
      <c r="D11" s="33" t="n">
        <f aca="false">C11*12</f>
        <v>120</v>
      </c>
      <c r="E11" s="32" t="str">
        <f aca="false">IF(B11&gt;1,"Overlap - review","")</f>
        <v/>
      </c>
    </row>
    <row r="12" customFormat="false" ht="15" hidden="false" customHeight="false" outlineLevel="0" collapsed="false">
      <c r="A12" s="31" t="str">
        <f aca="false">Lists!A9</f>
        <v>Email marketing</v>
      </c>
      <c r="B12" s="32" t="n">
        <f aca="false">COUNTIF(Inventory!$B$5:$B$104,A12)</f>
        <v>0</v>
      </c>
      <c r="C12" s="33" t="n">
        <f aca="false">SUMIF(Inventory!$B$5:$B$104,A12,Inventory!$F$5:$F$104)</f>
        <v>0</v>
      </c>
      <c r="D12" s="33" t="n">
        <f aca="false">C12*12</f>
        <v>0</v>
      </c>
      <c r="E12" s="32" t="str">
        <f aca="false">IF(B12&gt;1,"Overlap - review","")</f>
        <v/>
      </c>
    </row>
    <row r="13" customFormat="false" ht="15" hidden="false" customHeight="false" outlineLevel="0" collapsed="false">
      <c r="A13" s="31" t="str">
        <f aca="false">Lists!A10</f>
        <v>Funnels &amp; landing pages</v>
      </c>
      <c r="B13" s="32" t="n">
        <f aca="false">COUNTIF(Inventory!$B$5:$B$104,A13)</f>
        <v>0</v>
      </c>
      <c r="C13" s="33" t="n">
        <f aca="false">SUMIF(Inventory!$B$5:$B$104,A13,Inventory!$F$5:$F$104)</f>
        <v>0</v>
      </c>
      <c r="D13" s="33" t="n">
        <f aca="false">C13*12</f>
        <v>0</v>
      </c>
      <c r="E13" s="32" t="str">
        <f aca="false">IF(B13&gt;1,"Overlap - review","")</f>
        <v/>
      </c>
    </row>
    <row r="14" customFormat="false" ht="15" hidden="false" customHeight="false" outlineLevel="0" collapsed="false">
      <c r="A14" s="31" t="str">
        <f aca="false">Lists!A11</f>
        <v>Hosting &amp; domains</v>
      </c>
      <c r="B14" s="32" t="n">
        <f aca="false">COUNTIF(Inventory!$B$5:$B$104,A14)</f>
        <v>0</v>
      </c>
      <c r="C14" s="33" t="n">
        <f aca="false">SUMIF(Inventory!$B$5:$B$104,A14,Inventory!$F$5:$F$104)</f>
        <v>0</v>
      </c>
      <c r="D14" s="33" t="n">
        <f aca="false">C14*12</f>
        <v>0</v>
      </c>
      <c r="E14" s="32" t="str">
        <f aca="false">IF(B14&gt;1,"Overlap - review","")</f>
        <v/>
      </c>
    </row>
    <row r="15" customFormat="false" ht="15" hidden="false" customHeight="false" outlineLevel="0" collapsed="false">
      <c r="A15" s="31" t="str">
        <f aca="false">Lists!A12</f>
        <v>Project management</v>
      </c>
      <c r="B15" s="32" t="n">
        <f aca="false">COUNTIF(Inventory!$B$5:$B$104,A15)</f>
        <v>0</v>
      </c>
      <c r="C15" s="33" t="n">
        <f aca="false">SUMIF(Inventory!$B$5:$B$104,A15,Inventory!$F$5:$F$104)</f>
        <v>0</v>
      </c>
      <c r="D15" s="33" t="n">
        <f aca="false">C15*12</f>
        <v>0</v>
      </c>
      <c r="E15" s="32" t="str">
        <f aca="false">IF(B15&gt;1,"Overlap - review","")</f>
        <v/>
      </c>
    </row>
    <row r="16" customFormat="false" ht="15" hidden="false" customHeight="false" outlineLevel="0" collapsed="false">
      <c r="A16" s="31" t="str">
        <f aca="false">Lists!A13</f>
        <v>SEO</v>
      </c>
      <c r="B16" s="32" t="n">
        <f aca="false">COUNTIF(Inventory!$B$5:$B$104,A16)</f>
        <v>0</v>
      </c>
      <c r="C16" s="33" t="n">
        <f aca="false">SUMIF(Inventory!$B$5:$B$104,A16,Inventory!$F$5:$F$104)</f>
        <v>0</v>
      </c>
      <c r="D16" s="33" t="n">
        <f aca="false">C16*12</f>
        <v>0</v>
      </c>
      <c r="E16" s="32" t="str">
        <f aca="false">IF(B16&gt;1,"Overlap - review","")</f>
        <v/>
      </c>
    </row>
    <row r="17" customFormat="false" ht="15" hidden="false" customHeight="false" outlineLevel="0" collapsed="false">
      <c r="A17" s="31" t="str">
        <f aca="false">Lists!A14</f>
        <v>Social scheduling</v>
      </c>
      <c r="B17" s="32" t="n">
        <f aca="false">COUNTIF(Inventory!$B$5:$B$104,A17)</f>
        <v>0</v>
      </c>
      <c r="C17" s="33" t="n">
        <f aca="false">SUMIF(Inventory!$B$5:$B$104,A17,Inventory!$F$5:$F$104)</f>
        <v>0</v>
      </c>
      <c r="D17" s="33" t="n">
        <f aca="false">C17*12</f>
        <v>0</v>
      </c>
      <c r="E17" s="32" t="str">
        <f aca="false">IF(B17&gt;1,"Overlap - review","")</f>
        <v/>
      </c>
    </row>
    <row r="18" customFormat="false" ht="15" hidden="false" customHeight="false" outlineLevel="0" collapsed="false">
      <c r="A18" s="31" t="str">
        <f aca="false">Lists!A15</f>
        <v>Video</v>
      </c>
      <c r="B18" s="32" t="n">
        <f aca="false">COUNTIF(Inventory!$B$5:$B$104,A18)</f>
        <v>0</v>
      </c>
      <c r="C18" s="33" t="n">
        <f aca="false">SUMIF(Inventory!$B$5:$B$104,A18,Inventory!$F$5:$F$104)</f>
        <v>0</v>
      </c>
      <c r="D18" s="33" t="n">
        <f aca="false">C18*12</f>
        <v>0</v>
      </c>
      <c r="E18" s="32" t="str">
        <f aca="false">IF(B18&gt;1,"Overlap - review","")</f>
        <v/>
      </c>
    </row>
    <row r="19" customFormat="false" ht="15" hidden="false" customHeight="false" outlineLevel="0" collapsed="false">
      <c r="A19" s="31" t="str">
        <f aca="false">Lists!A16</f>
        <v>Other</v>
      </c>
      <c r="B19" s="32" t="n">
        <f aca="false">COUNTIF(Inventory!$B$5:$B$104,A19)</f>
        <v>0</v>
      </c>
      <c r="C19" s="33" t="n">
        <f aca="false">SUMIF(Inventory!$B$5:$B$104,A19,Inventory!$F$5:$F$104)</f>
        <v>0</v>
      </c>
      <c r="D19" s="33" t="n">
        <f aca="false">C19*12</f>
        <v>0</v>
      </c>
      <c r="E19" s="32" t="str">
        <f aca="false">IF(B19&gt;1,"Overlap - review","")</f>
        <v/>
      </c>
    </row>
  </sheetData>
  <conditionalFormatting sqref="A5:E19">
    <cfRule type="expression" priority="2" aboveAverage="0" equalAverage="0" bottom="0" percent="0" rank="0" text="" dxfId="2">
      <formula>$B5&gt;1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70</v>
      </c>
      <c r="C1" s="0" t="s">
        <v>42</v>
      </c>
      <c r="D1" s="0" t="s">
        <v>71</v>
      </c>
      <c r="F1" s="0" t="s">
        <v>53</v>
      </c>
    </row>
    <row r="2" customFormat="false" ht="15" hidden="false" customHeight="false" outlineLevel="0" collapsed="false">
      <c r="A2" s="0" t="s">
        <v>72</v>
      </c>
      <c r="C2" s="0" t="s">
        <v>73</v>
      </c>
      <c r="D2" s="0" t="n">
        <v>1</v>
      </c>
      <c r="F2" s="0" t="s">
        <v>74</v>
      </c>
    </row>
    <row r="3" customFormat="false" ht="15" hidden="false" customHeight="false" outlineLevel="0" collapsed="false">
      <c r="A3" s="0" t="s">
        <v>75</v>
      </c>
      <c r="C3" s="0" t="s">
        <v>76</v>
      </c>
      <c r="D3" s="0" t="n">
        <v>3</v>
      </c>
      <c r="F3" s="0" t="s">
        <v>77</v>
      </c>
    </row>
    <row r="4" customFormat="false" ht="15" hidden="false" customHeight="false" outlineLevel="0" collapsed="false">
      <c r="A4" s="0" t="s">
        <v>78</v>
      </c>
      <c r="C4" s="0" t="s">
        <v>61</v>
      </c>
      <c r="D4" s="0" t="n">
        <v>12</v>
      </c>
      <c r="F4" s="0" t="s">
        <v>79</v>
      </c>
    </row>
    <row r="5" customFormat="false" ht="15" hidden="false" customHeight="false" outlineLevel="0" collapsed="false">
      <c r="A5" s="0" t="s">
        <v>80</v>
      </c>
      <c r="F5" s="0" t="s">
        <v>62</v>
      </c>
    </row>
    <row r="6" customFormat="false" ht="15" hidden="false" customHeight="false" outlineLevel="0" collapsed="false">
      <c r="A6" s="0" t="s">
        <v>81</v>
      </c>
    </row>
    <row r="7" customFormat="false" ht="15" hidden="false" customHeight="false" outlineLevel="0" collapsed="false">
      <c r="A7" s="0" t="s">
        <v>82</v>
      </c>
    </row>
    <row r="8" customFormat="false" ht="15" hidden="false" customHeight="false" outlineLevel="0" collapsed="false">
      <c r="A8" s="0" t="s">
        <v>59</v>
      </c>
    </row>
    <row r="9" customFormat="false" ht="15" hidden="false" customHeight="false" outlineLevel="0" collapsed="false">
      <c r="A9" s="0" t="s">
        <v>83</v>
      </c>
    </row>
    <row r="10" customFormat="false" ht="15" hidden="false" customHeight="false" outlineLevel="0" collapsed="false">
      <c r="A10" s="0" t="s">
        <v>84</v>
      </c>
    </row>
    <row r="11" customFormat="false" ht="15" hidden="false" customHeight="false" outlineLevel="0" collapsed="false">
      <c r="A11" s="0" t="s">
        <v>85</v>
      </c>
    </row>
    <row r="12" customFormat="false" ht="15" hidden="false" customHeight="false" outlineLevel="0" collapsed="false">
      <c r="A12" s="0" t="s">
        <v>86</v>
      </c>
    </row>
    <row r="13" customFormat="false" ht="15" hidden="false" customHeight="false" outlineLevel="0" collapsed="false">
      <c r="A13" s="0" t="s">
        <v>87</v>
      </c>
    </row>
    <row r="14" customFormat="false" ht="15" hidden="false" customHeight="false" outlineLevel="0" collapsed="false">
      <c r="A14" s="0" t="s">
        <v>88</v>
      </c>
    </row>
    <row r="15" customFormat="false" ht="15" hidden="false" customHeight="false" outlineLevel="0" collapsed="false">
      <c r="A15" s="0" t="s">
        <v>89</v>
      </c>
    </row>
    <row r="16" customFormat="false" ht="15" hidden="false" customHeight="false" outlineLevel="0" collapsed="false">
      <c r="A16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2026-09-24T07:22:34Z</dcterms:created>
  <dc:creator>openpyxl</dc:creator>
  <dc:description/>
  <dc:language>en-US</dc:language>
  <cp:lastModifiedBy/>
  <dcterms:modified xsi:type="dcterms:W3CDTF">2026-09-24T07:22:34Z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